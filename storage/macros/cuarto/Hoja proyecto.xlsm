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as\xampp\htdocs\localUnal\storage\macros\cuarto\"/>
    </mc:Choice>
  </mc:AlternateContent>
  <bookViews>
    <workbookView xWindow="0" yWindow="0" windowWidth="15396" windowHeight="7788" activeTab="3"/>
  </bookViews>
  <sheets>
    <sheet name="Dimensiones cuarto" sheetId="6" r:id="rId1"/>
    <sheet name="Calculos" sheetId="1" r:id="rId2"/>
    <sheet name="Evaporadoras" sheetId="3" r:id="rId3"/>
    <sheet name="Condensadoras" sheetId="2" r:id="rId4"/>
    <sheet name="Soportes" sheetId="5" r:id="rId5"/>
    <sheet name="Estantes" sheetId="8" r:id="rId6"/>
    <sheet name="Ubicacion espacial" sheetId="7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6" l="1"/>
  <c r="I4" i="2"/>
  <c r="I3" i="2"/>
  <c r="I2" i="2"/>
  <c r="D3" i="6"/>
  <c r="D11" i="6" s="1"/>
  <c r="D2" i="6"/>
  <c r="I16" i="2"/>
  <c r="I13" i="2"/>
  <c r="I11" i="2"/>
  <c r="I10" i="2"/>
  <c r="I8" i="2"/>
  <c r="I6" i="2"/>
  <c r="I17" i="2"/>
  <c r="I15" i="2"/>
  <c r="I14" i="2"/>
  <c r="I12" i="2"/>
  <c r="I9" i="2"/>
  <c r="I7" i="2"/>
  <c r="I5" i="2"/>
  <c r="D16" i="5"/>
  <c r="D5" i="5"/>
  <c r="D14" i="6" l="1"/>
  <c r="D13" i="6"/>
  <c r="D6" i="6"/>
  <c r="D5" i="6"/>
  <c r="D3" i="5"/>
  <c r="H4" i="5" s="1"/>
  <c r="D7" i="5"/>
  <c r="D8" i="5" s="1"/>
  <c r="D18" i="5"/>
  <c r="D19" i="5" s="1"/>
  <c r="D14" i="5"/>
  <c r="H56" i="3"/>
  <c r="H52" i="3"/>
  <c r="H50" i="3"/>
  <c r="H48" i="3"/>
  <c r="H45" i="3"/>
  <c r="H44" i="3"/>
  <c r="H42" i="3"/>
  <c r="H40" i="3"/>
  <c r="H37" i="3"/>
  <c r="H34" i="3"/>
  <c r="H29" i="3"/>
  <c r="H59" i="3"/>
  <c r="H58" i="3"/>
  <c r="H54" i="3"/>
  <c r="H57" i="3"/>
  <c r="H55" i="3"/>
  <c r="H53" i="3"/>
  <c r="H51" i="3"/>
  <c r="H49" i="3"/>
  <c r="H47" i="3"/>
  <c r="H46" i="3"/>
  <c r="H43" i="3"/>
  <c r="H41" i="3"/>
  <c r="H39" i="3"/>
  <c r="H36" i="3"/>
  <c r="H32" i="3"/>
  <c r="D21" i="5" l="1"/>
  <c r="H5" i="5"/>
  <c r="D17" i="5"/>
  <c r="D6" i="5"/>
  <c r="D10" i="5"/>
  <c r="D9" i="5"/>
  <c r="D20" i="5"/>
  <c r="C95" i="1"/>
  <c r="C94" i="1"/>
  <c r="C92" i="1"/>
  <c r="D8" i="6" s="1"/>
  <c r="C93" i="1"/>
  <c r="C89" i="1"/>
  <c r="C74" i="1"/>
  <c r="C73" i="1"/>
  <c r="C56" i="1"/>
  <c r="C55" i="1"/>
  <c r="C58" i="1" s="1"/>
  <c r="C54" i="1"/>
  <c r="C43" i="1"/>
  <c r="C97" i="1" l="1"/>
  <c r="C37" i="1"/>
  <c r="C36" i="1"/>
  <c r="C12" i="1"/>
  <c r="C33" i="1"/>
  <c r="C32" i="1"/>
  <c r="C27" i="1"/>
  <c r="C30" i="1" s="1"/>
  <c r="C17" i="1"/>
  <c r="C39" i="1" l="1"/>
  <c r="C16" i="1"/>
  <c r="H13" i="1"/>
  <c r="H12" i="1"/>
  <c r="C13" i="1"/>
  <c r="C7" i="1"/>
  <c r="C10" i="1" l="1"/>
  <c r="D4" i="6"/>
  <c r="C44" i="1"/>
  <c r="D12" i="6" l="1"/>
  <c r="D15" i="6"/>
  <c r="D7" i="6"/>
  <c r="C62" i="1"/>
  <c r="C61" i="1"/>
  <c r="C65" i="1"/>
  <c r="C60" i="1"/>
  <c r="C63" i="1"/>
  <c r="C104" i="1"/>
  <c r="C66" i="1" l="1"/>
  <c r="C67" i="1" s="1"/>
  <c r="C68" i="1" s="1"/>
  <c r="C19" i="1" l="1"/>
  <c r="C108" i="1" l="1"/>
  <c r="H14" i="1" l="1"/>
  <c r="C83" i="1" l="1"/>
  <c r="C77" i="1"/>
  <c r="C34" i="1"/>
  <c r="C40" i="1" s="1"/>
  <c r="C21" i="1"/>
  <c r="C14" i="1"/>
  <c r="C20" i="1" s="1"/>
  <c r="C22" i="1" l="1"/>
  <c r="C110" i="1" l="1"/>
  <c r="C111" i="1" s="1"/>
  <c r="C112" i="1" s="1"/>
  <c r="K5" i="2" s="1"/>
  <c r="C113" i="1" l="1"/>
  <c r="C115" i="1" s="1"/>
  <c r="J5" i="3"/>
  <c r="D8" i="8"/>
  <c r="D9" i="8"/>
  <c r="D10" i="8" l="1"/>
  <c r="D18" i="7"/>
  <c r="D17" i="8"/>
  <c r="C23" i="8" l="1"/>
</calcChain>
</file>

<file path=xl/sharedStrings.xml><?xml version="1.0" encoding="utf-8"?>
<sst xmlns="http://schemas.openxmlformats.org/spreadsheetml/2006/main" count="537" uniqueCount="316">
  <si>
    <t>U</t>
  </si>
  <si>
    <t>hi</t>
  </si>
  <si>
    <t>ho</t>
  </si>
  <si>
    <t>Btu/h*ft^2*°F</t>
  </si>
  <si>
    <t>x</t>
  </si>
  <si>
    <t>in</t>
  </si>
  <si>
    <t>k</t>
  </si>
  <si>
    <t>Poliuretano</t>
  </si>
  <si>
    <t>Coef. Conveccion interno</t>
  </si>
  <si>
    <t>Coef. Conveccion externo</t>
  </si>
  <si>
    <t>Espesor</t>
  </si>
  <si>
    <t>Btu*in/h*ft^2*°F</t>
  </si>
  <si>
    <t>h</t>
  </si>
  <si>
    <t>Ancho</t>
  </si>
  <si>
    <t>Alto</t>
  </si>
  <si>
    <t>ft</t>
  </si>
  <si>
    <t>Area</t>
  </si>
  <si>
    <t>ft^2</t>
  </si>
  <si>
    <t>Te</t>
  </si>
  <si>
    <t>Ti</t>
  </si>
  <si>
    <t>Temperatura externa</t>
  </si>
  <si>
    <t>Temperatura interna</t>
  </si>
  <si>
    <t>°F</t>
  </si>
  <si>
    <t>Q</t>
  </si>
  <si>
    <t>Delta T</t>
  </si>
  <si>
    <t>Paredes (ASHRAE Capitulo 24)</t>
  </si>
  <si>
    <t>Btu/24h</t>
  </si>
  <si>
    <t>Pared Norte y sur (Color negro)</t>
  </si>
  <si>
    <t>Pared Este y oeste (Color negro)</t>
  </si>
  <si>
    <t>Techo (ASHRAE Capitulo 24)</t>
  </si>
  <si>
    <t>Largo</t>
  </si>
  <si>
    <t>Techo (Color negro)</t>
  </si>
  <si>
    <t>lb</t>
  </si>
  <si>
    <t>w</t>
  </si>
  <si>
    <t>c1</t>
  </si>
  <si>
    <t>Calor especifico antes de congelar</t>
  </si>
  <si>
    <t>Btu/lb*°F</t>
  </si>
  <si>
    <t>Calor especifico despues de congelamiento</t>
  </si>
  <si>
    <t>c2</t>
  </si>
  <si>
    <t>Temperatura entrada</t>
  </si>
  <si>
    <t>t1</t>
  </si>
  <si>
    <t>t2</t>
  </si>
  <si>
    <t>Temperatura encima congelamiento</t>
  </si>
  <si>
    <t>t3</t>
  </si>
  <si>
    <t>Temperatura final</t>
  </si>
  <si>
    <t>Temperatura congelamiento</t>
  </si>
  <si>
    <t>tf</t>
  </si>
  <si>
    <t>Producto (ASHRAE Capitulo 24)</t>
  </si>
  <si>
    <t>Calor latente fusion</t>
  </si>
  <si>
    <t>hif</t>
  </si>
  <si>
    <t>Btu/lb</t>
  </si>
  <si>
    <t>q1</t>
  </si>
  <si>
    <t>Btu</t>
  </si>
  <si>
    <t>q2</t>
  </si>
  <si>
    <t>q3</t>
  </si>
  <si>
    <t>q4</t>
  </si>
  <si>
    <t>Cargas internas (ASHRAE Cpitulo 24)</t>
  </si>
  <si>
    <t>Personas</t>
  </si>
  <si>
    <t>n</t>
  </si>
  <si>
    <t>Carga por persona</t>
  </si>
  <si>
    <t>q</t>
  </si>
  <si>
    <t>Btu/h</t>
  </si>
  <si>
    <t>Tiempo</t>
  </si>
  <si>
    <t>t</t>
  </si>
  <si>
    <t>Motores</t>
  </si>
  <si>
    <t>Potencia motor</t>
  </si>
  <si>
    <t>hp</t>
  </si>
  <si>
    <t>pot</t>
  </si>
  <si>
    <t>carga</t>
  </si>
  <si>
    <t>Tiempo funcionamiento</t>
  </si>
  <si>
    <t>Bombillos</t>
  </si>
  <si>
    <t>Potencia bombillo</t>
  </si>
  <si>
    <t>watts</t>
  </si>
  <si>
    <t>Cantidad</t>
  </si>
  <si>
    <t>Infiltraciones (ASHRAE Capitulo 24)</t>
  </si>
  <si>
    <t>Ancho puerta</t>
  </si>
  <si>
    <t>width</t>
  </si>
  <si>
    <t>heigth</t>
  </si>
  <si>
    <t>Altura puerta</t>
  </si>
  <si>
    <t>Carga de calor sensible de infiltracion por area</t>
  </si>
  <si>
    <t>qs/A</t>
  </si>
  <si>
    <t>ton/ft^2</t>
  </si>
  <si>
    <t>Rs</t>
  </si>
  <si>
    <t>Tasa calor sensible de infiltracion de aire</t>
  </si>
  <si>
    <t>Numero de pasajes por la puerta</t>
  </si>
  <si>
    <t>P</t>
  </si>
  <si>
    <t>s</t>
  </si>
  <si>
    <t>Tiempo de abrir-cerrar la puerta por pasaje</t>
  </si>
  <si>
    <t>theta_o</t>
  </si>
  <si>
    <t>theta_p</t>
  </si>
  <si>
    <t>min</t>
  </si>
  <si>
    <t>Tiempo puerta abierta</t>
  </si>
  <si>
    <t>Tiempo total diario</t>
  </si>
  <si>
    <t>theta_d</t>
  </si>
  <si>
    <t>Dt</t>
  </si>
  <si>
    <t>Df</t>
  </si>
  <si>
    <t>Factor apertura puerta</t>
  </si>
  <si>
    <t>Factor flujo por la puerta</t>
  </si>
  <si>
    <t>E</t>
  </si>
  <si>
    <t>Efectividad dispositivo protector puerta</t>
  </si>
  <si>
    <t>Carga total</t>
  </si>
  <si>
    <t>Qt</t>
  </si>
  <si>
    <t>Carga total sin factor de seguridad</t>
  </si>
  <si>
    <t>Pared Norte y sur</t>
  </si>
  <si>
    <t>Pared Este y oeste</t>
  </si>
  <si>
    <t>g</t>
  </si>
  <si>
    <t>Q_total</t>
  </si>
  <si>
    <t>Capacidad</t>
  </si>
  <si>
    <t>TR</t>
  </si>
  <si>
    <t>En el día</t>
  </si>
  <si>
    <t>Cuarto de refrigeración</t>
  </si>
  <si>
    <t>Largo (m)</t>
  </si>
  <si>
    <t>Ancho (m)</t>
  </si>
  <si>
    <t>Alto (m)</t>
  </si>
  <si>
    <t>Temperatura externa (°C)</t>
  </si>
  <si>
    <t>Producto</t>
  </si>
  <si>
    <t>Peso total (Kg)</t>
  </si>
  <si>
    <t>Peso Producto</t>
  </si>
  <si>
    <t>Numero de productos</t>
  </si>
  <si>
    <t>Capacidad (redondeada)</t>
  </si>
  <si>
    <t>Costo-COP</t>
  </si>
  <si>
    <t>LET035</t>
  </si>
  <si>
    <t>LET 040</t>
  </si>
  <si>
    <t>LET 047</t>
  </si>
  <si>
    <t>LET 065</t>
  </si>
  <si>
    <t>LET 074</t>
  </si>
  <si>
    <t>LET 090</t>
  </si>
  <si>
    <t>LET 120</t>
  </si>
  <si>
    <t>LET140</t>
  </si>
  <si>
    <t>LET 160</t>
  </si>
  <si>
    <t>LET 180</t>
  </si>
  <si>
    <t>HGT 190</t>
  </si>
  <si>
    <t>HGT 200</t>
  </si>
  <si>
    <t>HGT 240</t>
  </si>
  <si>
    <t>HGT 280</t>
  </si>
  <si>
    <t>BMA130</t>
  </si>
  <si>
    <t>BMA155</t>
  </si>
  <si>
    <t>BMA245</t>
  </si>
  <si>
    <t>BMA300</t>
  </si>
  <si>
    <t>BMA365</t>
  </si>
  <si>
    <t>BMA450</t>
  </si>
  <si>
    <t>BMA510</t>
  </si>
  <si>
    <t>BMA600</t>
  </si>
  <si>
    <t>BMA710</t>
  </si>
  <si>
    <t>BME101</t>
  </si>
  <si>
    <t>BME140</t>
  </si>
  <si>
    <t>BME190</t>
  </si>
  <si>
    <t>BME260</t>
  </si>
  <si>
    <t>BME310</t>
  </si>
  <si>
    <t>BME390</t>
  </si>
  <si>
    <t>BME430</t>
  </si>
  <si>
    <t>BME520</t>
  </si>
  <si>
    <t>BME620</t>
  </si>
  <si>
    <t>BHA520</t>
  </si>
  <si>
    <t>BHA630</t>
  </si>
  <si>
    <t>BHA750</t>
  </si>
  <si>
    <t>BHA850</t>
  </si>
  <si>
    <t>BHA930</t>
  </si>
  <si>
    <t>BHA1100</t>
  </si>
  <si>
    <t>BHA1170</t>
  </si>
  <si>
    <t>BHA1400</t>
  </si>
  <si>
    <t>BHA1610</t>
  </si>
  <si>
    <t>BHA1900</t>
  </si>
  <si>
    <t>BHA2200</t>
  </si>
  <si>
    <t>BHA2440</t>
  </si>
  <si>
    <t>BHA2160</t>
  </si>
  <si>
    <t>BHA2500</t>
  </si>
  <si>
    <t>BHA2780</t>
  </si>
  <si>
    <t>BHG 450</t>
  </si>
  <si>
    <t>BHG550</t>
  </si>
  <si>
    <t>BHG640</t>
  </si>
  <si>
    <t>BHG740</t>
  </si>
  <si>
    <t>BHG810</t>
  </si>
  <si>
    <t>BHG950</t>
  </si>
  <si>
    <t>BHG1020</t>
  </si>
  <si>
    <t>BHG1200</t>
  </si>
  <si>
    <t>BHG1390</t>
  </si>
  <si>
    <t>BHG1650</t>
  </si>
  <si>
    <t>BHG2120</t>
  </si>
  <si>
    <t>BD0500H2</t>
  </si>
  <si>
    <t>BD0501H2</t>
  </si>
  <si>
    <t>BD0750H2</t>
  </si>
  <si>
    <t>BD0751H2</t>
  </si>
  <si>
    <t>BD800H2</t>
  </si>
  <si>
    <t>BD1000H2</t>
  </si>
  <si>
    <t>BD1200H2</t>
  </si>
  <si>
    <t>BD1500H2</t>
  </si>
  <si>
    <t>BD0500M6</t>
  </si>
  <si>
    <t>BD0501M6</t>
  </si>
  <si>
    <t>BD0750M6</t>
  </si>
  <si>
    <t>BD0751M6</t>
  </si>
  <si>
    <t>BD0800M6</t>
  </si>
  <si>
    <t>BD1000M6</t>
  </si>
  <si>
    <t>BD1200M6</t>
  </si>
  <si>
    <t>BD1500M6</t>
  </si>
  <si>
    <t>Modelo</t>
  </si>
  <si>
    <t>Temperatura - °F</t>
  </si>
  <si>
    <t>Capacidad - Btu/h</t>
  </si>
  <si>
    <t>Largo -mm</t>
  </si>
  <si>
    <t>Alto - mm</t>
  </si>
  <si>
    <t>Ancho -mm</t>
  </si>
  <si>
    <t>Costo- dolar</t>
  </si>
  <si>
    <t>Carga Requerida</t>
  </si>
  <si>
    <t xml:space="preserve">Modelo </t>
  </si>
  <si>
    <t>Capacidad Equipo</t>
  </si>
  <si>
    <t>Seleccion del equipo</t>
  </si>
  <si>
    <t xml:space="preserve">modelo </t>
  </si>
  <si>
    <t>temp SUCCION - °F</t>
  </si>
  <si>
    <t>TEMP AMB - °f</t>
  </si>
  <si>
    <t>capacidad - Btu/h</t>
  </si>
  <si>
    <t>largo -mm</t>
  </si>
  <si>
    <t>alto - mm</t>
  </si>
  <si>
    <t>costo - Dolar</t>
  </si>
  <si>
    <t>costo - COP</t>
  </si>
  <si>
    <t>Nombre</t>
  </si>
  <si>
    <t>Valor</t>
  </si>
  <si>
    <t>Unidades</t>
  </si>
  <si>
    <t>Longitud vertical</t>
  </si>
  <si>
    <t>lon_ve</t>
  </si>
  <si>
    <t>mm</t>
  </si>
  <si>
    <t>Nombre Inventor</t>
  </si>
  <si>
    <t>Numero de agujeros</t>
  </si>
  <si>
    <t>n_a</t>
  </si>
  <si>
    <t>-</t>
  </si>
  <si>
    <t>Tamano agujero</t>
  </si>
  <si>
    <t>t_a</t>
  </si>
  <si>
    <t>Distanciamiento agujeros</t>
  </si>
  <si>
    <t>d_a</t>
  </si>
  <si>
    <t>Elemento vertical</t>
  </si>
  <si>
    <t>Longitud Horizontal</t>
  </si>
  <si>
    <t>lon_ho</t>
  </si>
  <si>
    <t>Distancia del borde</t>
  </si>
  <si>
    <t>d_bor</t>
  </si>
  <si>
    <t>Longitud de guia</t>
  </si>
  <si>
    <t>lon_gui</t>
  </si>
  <si>
    <t>Elemento Horizontal</t>
  </si>
  <si>
    <t>lon_ve2</t>
  </si>
  <si>
    <t>n_a2</t>
  </si>
  <si>
    <t>t_a2</t>
  </si>
  <si>
    <t>d_a2</t>
  </si>
  <si>
    <t>lon_ho2</t>
  </si>
  <si>
    <t>d_bor2</t>
  </si>
  <si>
    <t>lon_gui2</t>
  </si>
  <si>
    <t>Dimensiones soportes evaporador (Soporte.iam)</t>
  </si>
  <si>
    <t>Dimensiones soportes condensadora (soporte2.iam)</t>
  </si>
  <si>
    <t>Espacio entre guias</t>
  </si>
  <si>
    <t>esp_gui</t>
  </si>
  <si>
    <t>esp_gui2</t>
  </si>
  <si>
    <t>ancho-mm</t>
  </si>
  <si>
    <t>Pared Norte</t>
  </si>
  <si>
    <t>Pared Sur</t>
  </si>
  <si>
    <t>Distancia puerta</t>
  </si>
  <si>
    <t>Pared Este y Oeste</t>
  </si>
  <si>
    <t>Techo</t>
  </si>
  <si>
    <t>Dimensiones Cuarto</t>
  </si>
  <si>
    <t>PL_N</t>
  </si>
  <si>
    <t>PA_N</t>
  </si>
  <si>
    <t>PE_N</t>
  </si>
  <si>
    <t>PL_S</t>
  </si>
  <si>
    <t>PA_S</t>
  </si>
  <si>
    <t>PE_S</t>
  </si>
  <si>
    <t>DP_S</t>
  </si>
  <si>
    <t>AP_S</t>
  </si>
  <si>
    <t>PL_EO</t>
  </si>
  <si>
    <t>PA_EO</t>
  </si>
  <si>
    <t>PE_EO</t>
  </si>
  <si>
    <t>T_L</t>
  </si>
  <si>
    <t>T_A</t>
  </si>
  <si>
    <t>T_E</t>
  </si>
  <si>
    <t>UC_L</t>
  </si>
  <si>
    <t>UC_AN</t>
  </si>
  <si>
    <t>UE_L</t>
  </si>
  <si>
    <t>UE_A</t>
  </si>
  <si>
    <t>UE_AN</t>
  </si>
  <si>
    <t>Altura medida desde el techo</t>
  </si>
  <si>
    <t>AET</t>
  </si>
  <si>
    <t>Espacio entre unidad-pared</t>
  </si>
  <si>
    <t>EEP</t>
  </si>
  <si>
    <t>Evaporador</t>
  </si>
  <si>
    <t>Condensador</t>
  </si>
  <si>
    <t>ACT</t>
  </si>
  <si>
    <t>ECP</t>
  </si>
  <si>
    <t>Precio</t>
  </si>
  <si>
    <t>Precios</t>
  </si>
  <si>
    <t>Soporte evaporador</t>
  </si>
  <si>
    <t>Soporte condensador</t>
  </si>
  <si>
    <t>COP</t>
  </si>
  <si>
    <t>Unidad</t>
  </si>
  <si>
    <t>Nombre inventor</t>
  </si>
  <si>
    <t>Estantes grandes</t>
  </si>
  <si>
    <t>Estantes Pequenos</t>
  </si>
  <si>
    <t>Distanciamiento entre estantes y pared</t>
  </si>
  <si>
    <t>Distancia pared estante</t>
  </si>
  <si>
    <t>Distancia entre estantes longitudinal</t>
  </si>
  <si>
    <t>Distancia entre estantes transversal</t>
  </si>
  <si>
    <t>Estantes Grandes</t>
  </si>
  <si>
    <t>Canastas</t>
  </si>
  <si>
    <t>Cantidad Total</t>
  </si>
  <si>
    <t>DPE</t>
  </si>
  <si>
    <t>CEP_EW</t>
  </si>
  <si>
    <t>CEG_NS</t>
  </si>
  <si>
    <t>CEG_EW</t>
  </si>
  <si>
    <t>Numero de estantes EW</t>
  </si>
  <si>
    <t>Numero de estantes NS</t>
  </si>
  <si>
    <t>SEP_EW, SEG_EW</t>
  </si>
  <si>
    <t>SEG_NS, SEPEG_NS</t>
  </si>
  <si>
    <t>Distancia pared estante 2</t>
  </si>
  <si>
    <t>DPE2</t>
  </si>
  <si>
    <t>Id</t>
  </si>
  <si>
    <t>5,00</t>
  </si>
  <si>
    <t>pollo</t>
  </si>
  <si>
    <t>6,00</t>
  </si>
  <si>
    <t>4,00</t>
  </si>
  <si>
    <t>mora</t>
  </si>
  <si>
    <t>10,00</t>
  </si>
  <si>
    <t>3,50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</si>
</sst>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00"/>
    <numFmt numFmtId="165" formatCode="0\ &quot;BTU/h&quot;"/>
    <numFmt numFmtId="166" formatCode="0\ &quot;mm&quot;"/>
  </numFmts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4" borderId="1" xfId="0" applyFill="1" applyBorder="1"/>
    <xf numFmtId="0" fontId="0" fillId="2" borderId="1" xfId="0" applyFill="1" applyBorder="1"/>
    <xf numFmtId="0" fontId="0" fillId="2" borderId="2" xfId="0" applyFill="1" applyBorder="1"/>
    <xf numFmtId="0" fontId="0" fillId="0" borderId="1" xfId="0" applyBorder="1"/>
    <xf numFmtId="0" fontId="0" fillId="0" borderId="3" xfId="0" applyBorder="1"/>
    <xf numFmtId="164" fontId="0" fillId="0" borderId="1" xfId="0" applyNumberFormat="1" applyBorder="1"/>
    <xf numFmtId="0" fontId="0" fillId="3" borderId="2" xfId="0" applyFill="1" applyBorder="1"/>
    <xf numFmtId="0" fontId="0" fillId="5" borderId="1" xfId="0" applyFill="1" applyBorder="1"/>
    <xf numFmtId="0" fontId="0" fillId="0" borderId="1" xfId="0" applyFill="1" applyBorder="1"/>
    <xf numFmtId="0" fontId="0" fillId="0" borderId="0" xfId="0" applyBorder="1"/>
    <xf numFmtId="0" fontId="0" fillId="0" borderId="0" xfId="0" applyFill="1" applyBorder="1"/>
    <xf numFmtId="164" fontId="0" fillId="0" borderId="0" xfId="0" applyNumberFormat="1" applyFill="1" applyBorder="1"/>
    <xf numFmtId="2" fontId="0" fillId="0" borderId="1" xfId="0" applyNumberFormat="1" applyBorder="1"/>
    <xf numFmtId="165" fontId="0" fillId="0" borderId="1" xfId="0" applyNumberFormat="1" applyBorder="1"/>
    <xf numFmtId="0" fontId="0" fillId="0" borderId="1" xfId="0" applyBorder="1" applyAlignment="1"/>
    <xf numFmtId="166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5" xfId="0" applyFill="1" applyBorder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26"/>
  <sheetViews>
    <sheetView workbookViewId="0">
      <selection activeCell="C16" sqref="C16"/>
    </sheetView>
  </sheetViews>
  <sheetFormatPr baseColWidth="10" defaultRowHeight="14.4" x14ac:dyDescent="0.3"/>
  <cols>
    <col min="1" max="1" width="20.5546875" bestFit="1" customWidth="1"/>
    <col min="2" max="2" width="15.33203125" bestFit="1" customWidth="1"/>
    <col min="3" max="3" width="15.33203125" customWidth="1"/>
  </cols>
  <sheetData>
    <row r="1" spans="1:5" x14ac:dyDescent="0.3">
      <c r="A1" s="29" t="s">
        <v>254</v>
      </c>
      <c r="B1" s="29"/>
      <c r="C1" s="29"/>
      <c r="D1" s="29"/>
      <c r="E1" s="29"/>
    </row>
    <row r="2" spans="1:5" x14ac:dyDescent="0.3">
      <c r="A2" s="29" t="s">
        <v>249</v>
      </c>
      <c r="B2" s="9" t="s">
        <v>30</v>
      </c>
      <c r="C2" s="9" t="s">
        <v>255</v>
      </c>
      <c r="D2" s="9">
        <f>Calculos!B2*1000</f>
        <v>10000</v>
      </c>
      <c r="E2" s="9" t="s">
        <v>219</v>
      </c>
    </row>
    <row r="3" spans="1:5" x14ac:dyDescent="0.3">
      <c r="A3" s="29"/>
      <c r="B3" s="9" t="s">
        <v>14</v>
      </c>
      <c r="C3" s="9" t="s">
        <v>256</v>
      </c>
      <c r="D3" s="9">
        <f>Calculos!D2*1000</f>
        <v>3500</v>
      </c>
      <c r="E3" s="9" t="s">
        <v>219</v>
      </c>
    </row>
    <row r="4" spans="1:5" x14ac:dyDescent="0.3">
      <c r="A4" s="29"/>
      <c r="B4" s="9" t="s">
        <v>10</v>
      </c>
      <c r="C4" s="9" t="s">
        <v>257</v>
      </c>
      <c r="D4" s="9">
        <f>Calculos!C7*25.4</f>
        <v>50.8</v>
      </c>
      <c r="E4" s="9" t="s">
        <v>219</v>
      </c>
    </row>
    <row r="5" spans="1:5" x14ac:dyDescent="0.3">
      <c r="A5" s="29" t="s">
        <v>250</v>
      </c>
      <c r="B5" s="9" t="s">
        <v>30</v>
      </c>
      <c r="C5" s="9" t="s">
        <v>258</v>
      </c>
      <c r="D5" s="9">
        <f>D2</f>
        <v>10000</v>
      </c>
      <c r="E5" s="9" t="s">
        <v>219</v>
      </c>
    </row>
    <row r="6" spans="1:5" x14ac:dyDescent="0.3">
      <c r="A6" s="29"/>
      <c r="B6" s="9" t="s">
        <v>14</v>
      </c>
      <c r="C6" s="9" t="s">
        <v>259</v>
      </c>
      <c r="D6" s="9">
        <f>D3</f>
        <v>3500</v>
      </c>
      <c r="E6" s="9" t="s">
        <v>219</v>
      </c>
    </row>
    <row r="7" spans="1:5" x14ac:dyDescent="0.3">
      <c r="A7" s="29"/>
      <c r="B7" s="9" t="s">
        <v>10</v>
      </c>
      <c r="C7" s="9" t="s">
        <v>260</v>
      </c>
      <c r="D7" s="9">
        <f>D4</f>
        <v>50.8</v>
      </c>
      <c r="E7" s="9" t="s">
        <v>219</v>
      </c>
    </row>
    <row r="8" spans="1:5" x14ac:dyDescent="0.3">
      <c r="A8" s="29"/>
      <c r="B8" s="14" t="s">
        <v>251</v>
      </c>
      <c r="C8" s="9" t="s">
        <v>261</v>
      </c>
      <c r="D8" s="9">
        <f>(D5/2)+((Calculos!C92*304.8)/2)</f>
        <v>5750</v>
      </c>
      <c r="E8" s="14" t="s">
        <v>219</v>
      </c>
    </row>
    <row r="9" spans="1:5" x14ac:dyDescent="0.3">
      <c r="A9" s="29"/>
      <c r="B9" s="14" t="s">
        <v>78</v>
      </c>
      <c r="C9" s="14" t="s">
        <v>262</v>
      </c>
      <c r="D9" s="9">
        <v>2000</v>
      </c>
      <c r="E9" s="14" t="s">
        <v>219</v>
      </c>
    </row>
    <row r="10" spans="1:5" x14ac:dyDescent="0.3">
      <c r="A10" s="29" t="s">
        <v>252</v>
      </c>
      <c r="B10" s="9" t="s">
        <v>30</v>
      </c>
      <c r="C10" s="9" t="s">
        <v>263</v>
      </c>
      <c r="D10" s="9">
        <f>Calculos!C2 *1000</f>
        <v>10000</v>
      </c>
      <c r="E10" s="9" t="s">
        <v>219</v>
      </c>
    </row>
    <row r="11" spans="1:5" x14ac:dyDescent="0.3">
      <c r="A11" s="29"/>
      <c r="B11" s="9" t="s">
        <v>14</v>
      </c>
      <c r="C11" s="9" t="s">
        <v>264</v>
      </c>
      <c r="D11" s="9">
        <f>D3</f>
        <v>3500</v>
      </c>
      <c r="E11" s="9" t="s">
        <v>219</v>
      </c>
    </row>
    <row r="12" spans="1:5" x14ac:dyDescent="0.3">
      <c r="A12" s="29"/>
      <c r="B12" s="9" t="s">
        <v>10</v>
      </c>
      <c r="C12" s="9" t="s">
        <v>265</v>
      </c>
      <c r="D12" s="9">
        <f>D4</f>
        <v>50.8</v>
      </c>
      <c r="E12" s="9" t="s">
        <v>219</v>
      </c>
    </row>
    <row r="13" spans="1:5" x14ac:dyDescent="0.3">
      <c r="A13" s="29" t="s">
        <v>253</v>
      </c>
      <c r="B13" s="9" t="s">
        <v>30</v>
      </c>
      <c r="C13" s="9" t="s">
        <v>266</v>
      </c>
      <c r="D13" s="9">
        <f>D2</f>
        <v>10000</v>
      </c>
      <c r="E13" s="9" t="s">
        <v>219</v>
      </c>
    </row>
    <row r="14" spans="1:5" x14ac:dyDescent="0.3">
      <c r="A14" s="29"/>
      <c r="B14" s="9" t="s">
        <v>13</v>
      </c>
      <c r="C14" s="9" t="s">
        <v>267</v>
      </c>
      <c r="D14" s="9">
        <f>D10</f>
        <v>10000</v>
      </c>
      <c r="E14" s="9" t="s">
        <v>219</v>
      </c>
    </row>
    <row r="15" spans="1:5" x14ac:dyDescent="0.3">
      <c r="A15" s="29"/>
      <c r="B15" s="9" t="s">
        <v>10</v>
      </c>
      <c r="C15" s="9" t="s">
        <v>268</v>
      </c>
      <c r="D15" s="9">
        <f>D4</f>
        <v>50.8</v>
      </c>
      <c r="E15" s="9" t="s">
        <v>219</v>
      </c>
    </row>
    <row r="16" spans="1:5" x14ac:dyDescent="0.3">
      <c r="A16" s="15"/>
      <c r="B16" s="15"/>
      <c r="C16" s="15"/>
      <c r="D16" s="15"/>
      <c r="E16" s="15"/>
    </row>
    <row r="17" spans="1:5" x14ac:dyDescent="0.3">
      <c r="A17" s="15"/>
      <c r="B17" s="15"/>
      <c r="C17" s="15"/>
      <c r="D17" s="15"/>
      <c r="E17" s="15"/>
    </row>
    <row r="18" spans="1:5" x14ac:dyDescent="0.3">
      <c r="A18" s="15"/>
      <c r="B18" s="15"/>
      <c r="C18" s="15"/>
      <c r="D18" s="15"/>
      <c r="E18" s="15"/>
    </row>
    <row r="19" spans="1:5" x14ac:dyDescent="0.3">
      <c r="A19" s="15"/>
      <c r="B19" s="15"/>
      <c r="C19" s="15"/>
      <c r="D19" s="15"/>
      <c r="E19" s="15"/>
    </row>
    <row r="20" spans="1:5" x14ac:dyDescent="0.3">
      <c r="A20" s="15"/>
      <c r="B20" s="15"/>
      <c r="C20" s="15"/>
      <c r="D20" s="15"/>
      <c r="E20" s="15"/>
    </row>
    <row r="21" spans="1:5" x14ac:dyDescent="0.3">
      <c r="A21" s="15"/>
      <c r="B21" s="15"/>
      <c r="C21" s="15"/>
      <c r="D21" s="15"/>
      <c r="E21" s="15"/>
    </row>
    <row r="22" spans="1:5" x14ac:dyDescent="0.3">
      <c r="A22" s="15"/>
      <c r="B22" s="15"/>
      <c r="C22" s="15"/>
      <c r="D22" s="15"/>
      <c r="E22" s="15"/>
    </row>
    <row r="23" spans="1:5" x14ac:dyDescent="0.3">
      <c r="A23" s="15"/>
      <c r="B23" s="15"/>
      <c r="C23" s="15"/>
      <c r="D23" s="15"/>
      <c r="E23" s="15"/>
    </row>
    <row r="24" spans="1:5" x14ac:dyDescent="0.3">
      <c r="A24" s="15"/>
      <c r="B24" s="15"/>
      <c r="C24" s="15"/>
      <c r="D24" s="15"/>
      <c r="E24" s="15"/>
    </row>
    <row r="25" spans="1:5" x14ac:dyDescent="0.3">
      <c r="A25" s="15"/>
      <c r="B25" s="15"/>
      <c r="C25" s="15"/>
      <c r="D25" s="15"/>
      <c r="E25" s="15"/>
    </row>
    <row r="26" spans="1:5" x14ac:dyDescent="0.3">
      <c r="A26" s="15"/>
      <c r="B26" s="15"/>
      <c r="C26" s="15"/>
      <c r="D26" s="15"/>
      <c r="E26" s="15"/>
    </row>
  </sheetData>
  <mergeCells count="5">
    <mergeCell ref="A2:A4"/>
    <mergeCell ref="A5:A9"/>
    <mergeCell ref="A10:A12"/>
    <mergeCell ref="A13:A15"/>
    <mergeCell ref="A1:E1"/>
  </mergeCells>
  <pageMargins left="0.7" right="0.7" top="0.75" bottom="0.75" header="0.3" footer="0.3"/>
  <ignoredErrors>
    <ignoredError sqref="D14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33"/>
  <sheetViews>
    <sheetView workbookViewId="0">
      <selection activeCell="H2" sqref="H2"/>
    </sheetView>
  </sheetViews>
  <sheetFormatPr baseColWidth="10" defaultRowHeight="14.4" x14ac:dyDescent="0.3"/>
  <cols>
    <col min="1" max="1" width="45.6640625" bestFit="1" customWidth="1"/>
    <col min="3" max="3" width="12.5546875" bestFit="1" customWidth="1"/>
    <col min="4" max="4" width="15.88671875" bestFit="1" customWidth="1"/>
    <col min="5" max="5" width="23.6640625" bestFit="1" customWidth="1"/>
    <col min="6" max="6" width="17.33203125" bestFit="1" customWidth="1"/>
    <col min="7" max="7" width="13.88671875" bestFit="1" customWidth="1"/>
  </cols>
  <sheetData>
    <row r="1" spans="1:9" x14ac:dyDescent="0.3">
      <c r="B1" t="s">
        <v>111</v>
      </c>
      <c r="C1" t="s">
        <v>112</v>
      </c>
      <c r="D1" t="s">
        <v>113</v>
      </c>
      <c r="E1" t="s">
        <v>114</v>
      </c>
      <c r="F1" t="s">
        <v>115</v>
      </c>
      <c r="G1" t="s">
        <v>116</v>
      </c>
      <c r="H1" t="s">
        <v>308</v>
      </c>
    </row>
    <row r="2" spans="1:9" x14ac:dyDescent="0.3">
      <c r="B2" t="s">
        <v>314</v>
      </c>
      <c r="C2" t="s">
        <v>314</v>
      </c>
      <c r="D2" t="s">
        <v>315</v>
      </c>
      <c r="E2">
        <v>20</v>
      </c>
      <c r="F2" t="s">
        <v>313</v>
      </c>
      <c r="G2">
        <v>100</v>
      </c>
      <c r="H2">
        <v>9</v>
      </c>
    </row>
    <row r="3" spans="1:9" s="4" customFormat="1" x14ac:dyDescent="0.3">
      <c r="A3" s="6" t="s">
        <v>110</v>
      </c>
    </row>
    <row r="4" spans="1:9" s="1" customFormat="1" x14ac:dyDescent="0.3">
      <c r="A4" s="8" t="s">
        <v>25</v>
      </c>
    </row>
    <row r="5" spans="1:9" x14ac:dyDescent="0.3">
      <c r="A5" s="9" t="s">
        <v>8</v>
      </c>
      <c r="B5" s="9" t="s">
        <v>1</v>
      </c>
      <c r="C5" s="9">
        <v>1.6</v>
      </c>
      <c r="D5" s="9" t="s">
        <v>3</v>
      </c>
    </row>
    <row r="6" spans="1:9" x14ac:dyDescent="0.3">
      <c r="A6" s="9" t="s">
        <v>9</v>
      </c>
      <c r="B6" s="9" t="s">
        <v>2</v>
      </c>
      <c r="C6" s="9">
        <v>6</v>
      </c>
      <c r="D6" s="9" t="s">
        <v>3</v>
      </c>
    </row>
    <row r="7" spans="1:9" x14ac:dyDescent="0.3">
      <c r="A7" s="9" t="s">
        <v>10</v>
      </c>
      <c r="B7" s="9" t="s">
        <v>4</v>
      </c>
      <c r="C7" s="9">
        <f>IF(F2="pollo",4,2)</f>
        <v>2</v>
      </c>
      <c r="D7" s="9" t="s">
        <v>5</v>
      </c>
    </row>
    <row r="8" spans="1:9" x14ac:dyDescent="0.3">
      <c r="A8" s="9" t="s">
        <v>7</v>
      </c>
      <c r="B8" s="9" t="s">
        <v>6</v>
      </c>
      <c r="C8" s="9">
        <v>0.17</v>
      </c>
      <c r="D8" s="9" t="s">
        <v>11</v>
      </c>
    </row>
    <row r="9" spans="1:9" x14ac:dyDescent="0.3">
      <c r="A9" s="9"/>
      <c r="B9" s="9"/>
      <c r="C9" s="9"/>
      <c r="D9" s="9"/>
    </row>
    <row r="10" spans="1:9" x14ac:dyDescent="0.3">
      <c r="A10" s="9"/>
      <c r="B10" s="9" t="s">
        <v>0</v>
      </c>
      <c r="C10" s="9">
        <f>1/((1/C5)+(C7/C8)+(1/C6))</f>
        <v>7.9640835447979716E-2</v>
      </c>
      <c r="D10" s="9" t="s">
        <v>3</v>
      </c>
    </row>
    <row r="12" spans="1:9" x14ac:dyDescent="0.3">
      <c r="A12" s="9" t="s">
        <v>103</v>
      </c>
      <c r="B12" s="9" t="s">
        <v>13</v>
      </c>
      <c r="C12" s="9">
        <f>B2/0.3048</f>
        <v>32.808398950131235</v>
      </c>
      <c r="D12" s="9" t="s">
        <v>15</v>
      </c>
      <c r="F12" s="9" t="s">
        <v>104</v>
      </c>
      <c r="G12" s="9" t="s">
        <v>13</v>
      </c>
      <c r="H12" s="9">
        <f>C2/0.3048</f>
        <v>32.808398950131235</v>
      </c>
      <c r="I12" s="9" t="s">
        <v>15</v>
      </c>
    </row>
    <row r="13" spans="1:9" x14ac:dyDescent="0.3">
      <c r="A13" s="9"/>
      <c r="B13" s="9" t="s">
        <v>14</v>
      </c>
      <c r="C13" s="9">
        <f>D2/0.3048</f>
        <v>11.48293963254593</v>
      </c>
      <c r="D13" s="9" t="s">
        <v>15</v>
      </c>
      <c r="F13" s="9"/>
      <c r="G13" s="9" t="s">
        <v>14</v>
      </c>
      <c r="H13" s="9">
        <f>D2/0.3048</f>
        <v>11.48293963254593</v>
      </c>
      <c r="I13" s="9" t="s">
        <v>15</v>
      </c>
    </row>
    <row r="14" spans="1:9" x14ac:dyDescent="0.3">
      <c r="A14" s="9"/>
      <c r="B14" s="9" t="s">
        <v>16</v>
      </c>
      <c r="C14" s="9">
        <f>C12*C13</f>
        <v>376.73686458484025</v>
      </c>
      <c r="D14" s="9" t="s">
        <v>17</v>
      </c>
      <c r="F14" s="9"/>
      <c r="G14" s="9" t="s">
        <v>16</v>
      </c>
      <c r="H14" s="9">
        <f>H13*H12</f>
        <v>376.73686458484025</v>
      </c>
      <c r="I14" s="9" t="s">
        <v>17</v>
      </c>
    </row>
    <row r="16" spans="1:9" x14ac:dyDescent="0.3">
      <c r="A16" s="9" t="s">
        <v>20</v>
      </c>
      <c r="B16" s="9" t="s">
        <v>18</v>
      </c>
      <c r="C16" s="9">
        <f>E2*(9/5)+32</f>
        <v>68</v>
      </c>
      <c r="D16" s="9" t="s">
        <v>22</v>
      </c>
    </row>
    <row r="17" spans="1:6" x14ac:dyDescent="0.3">
      <c r="A17" s="9" t="s">
        <v>21</v>
      </c>
      <c r="B17" s="9" t="s">
        <v>19</v>
      </c>
      <c r="C17" s="9">
        <f>IF(F2="pollo",-20,14)</f>
        <v>14</v>
      </c>
      <c r="D17" s="9" t="s">
        <v>22</v>
      </c>
      <c r="F17">
        <v>0</v>
      </c>
    </row>
    <row r="19" spans="1:6" x14ac:dyDescent="0.3">
      <c r="A19" s="9" t="s">
        <v>27</v>
      </c>
      <c r="B19" s="9" t="s">
        <v>24</v>
      </c>
      <c r="C19" s="9">
        <f>(C16-C17)+5</f>
        <v>59</v>
      </c>
      <c r="D19" s="9" t="s">
        <v>22</v>
      </c>
    </row>
    <row r="20" spans="1:6" x14ac:dyDescent="0.3">
      <c r="A20" s="9"/>
      <c r="B20" s="9" t="s">
        <v>23</v>
      </c>
      <c r="C20" s="9">
        <f>C10*C14*C19*24</f>
        <v>42485.152313658138</v>
      </c>
      <c r="D20" s="9" t="s">
        <v>26</v>
      </c>
    </row>
    <row r="21" spans="1:6" x14ac:dyDescent="0.3">
      <c r="A21" s="9" t="s">
        <v>28</v>
      </c>
      <c r="B21" s="9" t="s">
        <v>24</v>
      </c>
      <c r="C21" s="9">
        <f>(C16-C17)+8</f>
        <v>62</v>
      </c>
      <c r="D21" s="9" t="s">
        <v>22</v>
      </c>
    </row>
    <row r="22" spans="1:6" x14ac:dyDescent="0.3">
      <c r="A22" s="9"/>
      <c r="B22" s="9" t="s">
        <v>23</v>
      </c>
      <c r="C22" s="9">
        <f>C10*H14*C21*24</f>
        <v>44645.41429570855</v>
      </c>
      <c r="D22" s="9" t="s">
        <v>26</v>
      </c>
    </row>
    <row r="24" spans="1:6" s="1" customFormat="1" x14ac:dyDescent="0.3">
      <c r="A24" s="8" t="s">
        <v>29</v>
      </c>
    </row>
    <row r="25" spans="1:6" x14ac:dyDescent="0.3">
      <c r="A25" s="9" t="s">
        <v>8</v>
      </c>
      <c r="B25" s="9" t="s">
        <v>1</v>
      </c>
      <c r="C25" s="9">
        <v>1.6</v>
      </c>
      <c r="D25" s="9" t="s">
        <v>3</v>
      </c>
    </row>
    <row r="26" spans="1:6" x14ac:dyDescent="0.3">
      <c r="A26" s="9" t="s">
        <v>9</v>
      </c>
      <c r="B26" s="9" t="s">
        <v>2</v>
      </c>
      <c r="C26" s="9">
        <v>6</v>
      </c>
      <c r="D26" s="9" t="s">
        <v>3</v>
      </c>
    </row>
    <row r="27" spans="1:6" x14ac:dyDescent="0.3">
      <c r="A27" s="9" t="s">
        <v>10</v>
      </c>
      <c r="B27" s="9" t="s">
        <v>4</v>
      </c>
      <c r="C27" s="9">
        <f>IF(F2="pollo",4,2)</f>
        <v>2</v>
      </c>
      <c r="D27" s="9" t="s">
        <v>5</v>
      </c>
    </row>
    <row r="28" spans="1:6" x14ac:dyDescent="0.3">
      <c r="A28" s="9" t="s">
        <v>7</v>
      </c>
      <c r="B28" s="9" t="s">
        <v>6</v>
      </c>
      <c r="C28" s="9">
        <v>0.17</v>
      </c>
      <c r="D28" s="9" t="s">
        <v>11</v>
      </c>
    </row>
    <row r="30" spans="1:6" x14ac:dyDescent="0.3">
      <c r="B30" s="9" t="s">
        <v>0</v>
      </c>
      <c r="C30" s="9">
        <f>1/((1/C25)+(C27/C28)+(1/C26))</f>
        <v>7.9640835447979716E-2</v>
      </c>
      <c r="D30" s="9" t="s">
        <v>3</v>
      </c>
    </row>
    <row r="32" spans="1:6" x14ac:dyDescent="0.3">
      <c r="B32" s="9" t="s">
        <v>30</v>
      </c>
      <c r="C32" s="9" t="str">
        <f>B2</f>
        <v>10,00</v>
      </c>
      <c r="D32" s="9" t="s">
        <v>15</v>
      </c>
    </row>
    <row r="33" spans="1:7" x14ac:dyDescent="0.3">
      <c r="B33" s="9" t="s">
        <v>13</v>
      </c>
      <c r="C33" s="9" t="str">
        <f>C2</f>
        <v>10,00</v>
      </c>
      <c r="D33" s="9" t="s">
        <v>15</v>
      </c>
    </row>
    <row r="34" spans="1:7" x14ac:dyDescent="0.3">
      <c r="B34" s="9" t="s">
        <v>16</v>
      </c>
      <c r="C34" s="9">
        <f>C32*C33</f>
        <v>100</v>
      </c>
      <c r="D34" s="9" t="s">
        <v>17</v>
      </c>
    </row>
    <row r="36" spans="1:7" x14ac:dyDescent="0.3">
      <c r="A36" s="9" t="s">
        <v>20</v>
      </c>
      <c r="B36" s="9" t="s">
        <v>18</v>
      </c>
      <c r="C36" s="9">
        <f>E2*(9/5)+32</f>
        <v>68</v>
      </c>
      <c r="D36" s="9" t="s">
        <v>22</v>
      </c>
    </row>
    <row r="37" spans="1:7" x14ac:dyDescent="0.3">
      <c r="A37" s="9" t="s">
        <v>21</v>
      </c>
      <c r="B37" s="9" t="s">
        <v>19</v>
      </c>
      <c r="C37" s="9">
        <f>IF(F2="pollo",-20,14)</f>
        <v>14</v>
      </c>
      <c r="D37" s="9" t="s">
        <v>22</v>
      </c>
    </row>
    <row r="39" spans="1:7" x14ac:dyDescent="0.3">
      <c r="A39" s="9" t="s">
        <v>31</v>
      </c>
      <c r="B39" s="9" t="s">
        <v>24</v>
      </c>
      <c r="C39" s="9">
        <f>(C36-C37)+20</f>
        <v>74</v>
      </c>
      <c r="D39" s="9" t="s">
        <v>22</v>
      </c>
    </row>
    <row r="40" spans="1:7" x14ac:dyDescent="0.3">
      <c r="A40" s="9"/>
      <c r="B40" s="9" t="s">
        <v>23</v>
      </c>
      <c r="C40" s="9">
        <f>C30*C34*C39*24</f>
        <v>14144.212375561197</v>
      </c>
      <c r="D40" s="9" t="s">
        <v>26</v>
      </c>
    </row>
    <row r="42" spans="1:7" s="1" customFormat="1" x14ac:dyDescent="0.3">
      <c r="A42" s="7" t="s">
        <v>47</v>
      </c>
    </row>
    <row r="43" spans="1:7" x14ac:dyDescent="0.3">
      <c r="A43" s="9" t="s">
        <v>117</v>
      </c>
      <c r="B43" s="10" t="s">
        <v>33</v>
      </c>
      <c r="C43" s="9">
        <f>IF(F2="pollo",2000,6.3)</f>
        <v>6.3</v>
      </c>
      <c r="D43" s="9" t="s">
        <v>105</v>
      </c>
      <c r="G43" s="2"/>
    </row>
    <row r="44" spans="1:7" x14ac:dyDescent="0.3">
      <c r="C44" s="11">
        <f>C43*0.00220462</f>
        <v>1.3889106E-2</v>
      </c>
      <c r="D44" s="9" t="s">
        <v>32</v>
      </c>
    </row>
    <row r="46" spans="1:7" x14ac:dyDescent="0.3">
      <c r="A46" s="9" t="s">
        <v>35</v>
      </c>
      <c r="B46" s="9" t="s">
        <v>34</v>
      </c>
      <c r="C46" s="9"/>
      <c r="D46" s="9"/>
    </row>
    <row r="47" spans="1:7" x14ac:dyDescent="0.3">
      <c r="A47" s="9"/>
      <c r="B47" s="9"/>
      <c r="C47" s="9"/>
      <c r="D47" s="9"/>
    </row>
    <row r="48" spans="1:7" x14ac:dyDescent="0.3">
      <c r="A48" s="9"/>
      <c r="B48" s="9"/>
      <c r="C48" s="9">
        <v>0.7</v>
      </c>
      <c r="D48" s="9" t="s">
        <v>36</v>
      </c>
    </row>
    <row r="49" spans="1:4" x14ac:dyDescent="0.3">
      <c r="A49" s="9" t="s">
        <v>37</v>
      </c>
      <c r="B49" s="9" t="s">
        <v>38</v>
      </c>
      <c r="C49" s="9"/>
      <c r="D49" s="9"/>
    </row>
    <row r="50" spans="1:4" x14ac:dyDescent="0.3">
      <c r="A50" s="9"/>
      <c r="B50" s="9"/>
      <c r="C50" s="9"/>
      <c r="D50" s="9"/>
    </row>
    <row r="51" spans="1:4" x14ac:dyDescent="0.3">
      <c r="A51" s="9"/>
      <c r="B51" s="9"/>
      <c r="C51" s="9">
        <v>0.37</v>
      </c>
      <c r="D51" s="9" t="s">
        <v>36</v>
      </c>
    </row>
    <row r="53" spans="1:4" x14ac:dyDescent="0.3">
      <c r="A53" s="9" t="s">
        <v>39</v>
      </c>
      <c r="B53" s="9" t="s">
        <v>40</v>
      </c>
      <c r="C53" s="9">
        <v>70</v>
      </c>
      <c r="D53" s="9" t="s">
        <v>22</v>
      </c>
    </row>
    <row r="54" spans="1:4" x14ac:dyDescent="0.3">
      <c r="A54" s="9" t="s">
        <v>42</v>
      </c>
      <c r="B54" s="9" t="s">
        <v>41</v>
      </c>
      <c r="C54" s="9">
        <f>IF(F2="pollo",32,41)</f>
        <v>41</v>
      </c>
      <c r="D54" s="9" t="s">
        <v>22</v>
      </c>
    </row>
    <row r="55" spans="1:4" x14ac:dyDescent="0.3">
      <c r="A55" s="9" t="s">
        <v>45</v>
      </c>
      <c r="B55" s="9" t="s">
        <v>46</v>
      </c>
      <c r="C55" s="9">
        <f>IF(F2="pollo",26,32)</f>
        <v>32</v>
      </c>
      <c r="D55" s="9" t="s">
        <v>22</v>
      </c>
    </row>
    <row r="56" spans="1:4" x14ac:dyDescent="0.3">
      <c r="A56" s="9" t="s">
        <v>44</v>
      </c>
      <c r="B56" s="9" t="s">
        <v>43</v>
      </c>
      <c r="C56" s="9">
        <f>IF(F2="pollo",-20,14)</f>
        <v>14</v>
      </c>
      <c r="D56" s="9" t="s">
        <v>22</v>
      </c>
    </row>
    <row r="58" spans="1:4" x14ac:dyDescent="0.3">
      <c r="A58" s="9" t="s">
        <v>48</v>
      </c>
      <c r="B58" s="9" t="s">
        <v>49</v>
      </c>
      <c r="C58" s="9">
        <f>C48*C55</f>
        <v>22.4</v>
      </c>
      <c r="D58" s="9" t="s">
        <v>50</v>
      </c>
    </row>
    <row r="60" spans="1:4" x14ac:dyDescent="0.3">
      <c r="B60" s="9" t="s">
        <v>51</v>
      </c>
      <c r="C60" s="9">
        <f>C44*C48*(C53-C54)</f>
        <v>0.28194885180000001</v>
      </c>
      <c r="D60" s="9" t="s">
        <v>52</v>
      </c>
    </row>
    <row r="61" spans="1:4" x14ac:dyDescent="0.3">
      <c r="B61" s="9" t="s">
        <v>53</v>
      </c>
      <c r="C61" s="9">
        <f>C44*C48*(C53-C55)</f>
        <v>0.36945021960000002</v>
      </c>
      <c r="D61" s="9" t="s">
        <v>52</v>
      </c>
    </row>
    <row r="62" spans="1:4" x14ac:dyDescent="0.3">
      <c r="B62" s="9" t="s">
        <v>54</v>
      </c>
      <c r="C62" s="9">
        <f>C44*C58</f>
        <v>0.31111597439999999</v>
      </c>
      <c r="D62" s="9" t="s">
        <v>52</v>
      </c>
    </row>
    <row r="63" spans="1:4" x14ac:dyDescent="0.3">
      <c r="B63" s="9" t="s">
        <v>55</v>
      </c>
      <c r="C63" s="9">
        <f>C44*C51*(C55-C56)</f>
        <v>9.2501445959999998E-2</v>
      </c>
      <c r="D63" s="9" t="s">
        <v>52</v>
      </c>
    </row>
    <row r="65" spans="1:4" x14ac:dyDescent="0.3">
      <c r="A65" s="9" t="s">
        <v>118</v>
      </c>
      <c r="B65" s="9"/>
      <c r="C65" s="9">
        <f>(G2*1000*0.00220462)/C44</f>
        <v>15873.015873015873</v>
      </c>
      <c r="D65" s="9"/>
    </row>
    <row r="66" spans="1:4" x14ac:dyDescent="0.3">
      <c r="A66" s="9"/>
      <c r="B66" s="9" t="s">
        <v>23</v>
      </c>
      <c r="C66" s="9">
        <f>(C60+C61+C62+C63)/24</f>
        <v>4.395902049E-2</v>
      </c>
      <c r="D66" s="9" t="s">
        <v>61</v>
      </c>
    </row>
    <row r="67" spans="1:4" x14ac:dyDescent="0.3">
      <c r="A67" s="9" t="s">
        <v>109</v>
      </c>
      <c r="B67" s="9"/>
      <c r="C67" s="9">
        <f>C66*24</f>
        <v>1.05501649176</v>
      </c>
      <c r="D67" s="9" t="s">
        <v>26</v>
      </c>
    </row>
    <row r="68" spans="1:4" x14ac:dyDescent="0.3">
      <c r="A68" s="9"/>
      <c r="B68" s="9" t="s">
        <v>106</v>
      </c>
      <c r="C68" s="9">
        <f>C67*C65</f>
        <v>16746.293519999999</v>
      </c>
      <c r="D68" s="9" t="s">
        <v>26</v>
      </c>
    </row>
    <row r="70" spans="1:4" s="1" customFormat="1" x14ac:dyDescent="0.3">
      <c r="A70" s="7" t="s">
        <v>56</v>
      </c>
    </row>
    <row r="71" spans="1:4" s="3" customFormat="1" x14ac:dyDescent="0.3">
      <c r="A71" s="12" t="s">
        <v>57</v>
      </c>
    </row>
    <row r="72" spans="1:4" x14ac:dyDescent="0.3">
      <c r="A72" s="9" t="s">
        <v>73</v>
      </c>
      <c r="B72" s="9" t="s">
        <v>58</v>
      </c>
      <c r="C72" s="9">
        <v>10</v>
      </c>
      <c r="D72" s="9"/>
    </row>
    <row r="73" spans="1:4" x14ac:dyDescent="0.3">
      <c r="A73" s="9" t="s">
        <v>59</v>
      </c>
      <c r="B73" s="9" t="s">
        <v>19</v>
      </c>
      <c r="C73" s="9">
        <f>IF(F2="pollo",-20,14)</f>
        <v>14</v>
      </c>
      <c r="D73" s="9" t="s">
        <v>22</v>
      </c>
    </row>
    <row r="74" spans="1:4" x14ac:dyDescent="0.3">
      <c r="A74" s="9"/>
      <c r="B74" s="9" t="s">
        <v>60</v>
      </c>
      <c r="C74" s="9">
        <f>IF(F2="pollo",1500,1125)</f>
        <v>1125</v>
      </c>
      <c r="D74" s="9" t="s">
        <v>61</v>
      </c>
    </row>
    <row r="75" spans="1:4" x14ac:dyDescent="0.3">
      <c r="A75" s="9" t="s">
        <v>62</v>
      </c>
      <c r="B75" s="9" t="s">
        <v>63</v>
      </c>
      <c r="C75" s="9">
        <v>2</v>
      </c>
      <c r="D75" s="9" t="s">
        <v>12</v>
      </c>
    </row>
    <row r="77" spans="1:4" x14ac:dyDescent="0.3">
      <c r="B77" s="9" t="s">
        <v>23</v>
      </c>
      <c r="C77" s="9">
        <f>C72*C74*C75</f>
        <v>22500</v>
      </c>
      <c r="D77" s="9" t="s">
        <v>26</v>
      </c>
    </row>
    <row r="78" spans="1:4" s="3" customFormat="1" x14ac:dyDescent="0.3">
      <c r="A78" s="12" t="s">
        <v>64</v>
      </c>
    </row>
    <row r="79" spans="1:4" x14ac:dyDescent="0.3">
      <c r="A79" s="9" t="s">
        <v>65</v>
      </c>
      <c r="B79" s="9" t="s">
        <v>67</v>
      </c>
      <c r="C79" s="9">
        <v>0.5</v>
      </c>
      <c r="D79" s="9" t="s">
        <v>66</v>
      </c>
    </row>
    <row r="80" spans="1:4" x14ac:dyDescent="0.3">
      <c r="A80" s="9"/>
      <c r="B80" s="9" t="s">
        <v>68</v>
      </c>
      <c r="C80" s="9">
        <v>2120</v>
      </c>
      <c r="D80" s="9" t="s">
        <v>61</v>
      </c>
    </row>
    <row r="81" spans="1:4" x14ac:dyDescent="0.3">
      <c r="A81" s="9" t="s">
        <v>69</v>
      </c>
      <c r="B81" s="9" t="s">
        <v>63</v>
      </c>
      <c r="C81" s="9">
        <v>20</v>
      </c>
      <c r="D81" s="9" t="s">
        <v>12</v>
      </c>
    </row>
    <row r="83" spans="1:4" x14ac:dyDescent="0.3">
      <c r="B83" s="9" t="s">
        <v>23</v>
      </c>
      <c r="C83" s="9">
        <f>C80*C81</f>
        <v>42400</v>
      </c>
      <c r="D83" s="9" t="s">
        <v>26</v>
      </c>
    </row>
    <row r="84" spans="1:4" s="3" customFormat="1" x14ac:dyDescent="0.3">
      <c r="A84" s="12" t="s">
        <v>70</v>
      </c>
    </row>
    <row r="85" spans="1:4" x14ac:dyDescent="0.3">
      <c r="A85" s="9" t="s">
        <v>71</v>
      </c>
      <c r="B85" s="9" t="s">
        <v>67</v>
      </c>
      <c r="C85" s="9">
        <v>85</v>
      </c>
      <c r="D85" s="9" t="s">
        <v>72</v>
      </c>
    </row>
    <row r="86" spans="1:4" x14ac:dyDescent="0.3">
      <c r="A86" s="9" t="s">
        <v>73</v>
      </c>
      <c r="B86" s="9" t="s">
        <v>58</v>
      </c>
      <c r="C86" s="9">
        <v>4</v>
      </c>
      <c r="D86" s="9"/>
    </row>
    <row r="87" spans="1:4" x14ac:dyDescent="0.3">
      <c r="A87" s="9" t="s">
        <v>62</v>
      </c>
      <c r="B87" s="9" t="s">
        <v>63</v>
      </c>
      <c r="C87" s="9">
        <v>2</v>
      </c>
      <c r="D87" s="9" t="s">
        <v>12</v>
      </c>
    </row>
    <row r="89" spans="1:4" x14ac:dyDescent="0.3">
      <c r="B89" s="9" t="s">
        <v>23</v>
      </c>
      <c r="C89" s="9">
        <f>(C85*C86)*3.41442595*C87</f>
        <v>2321.8096460000002</v>
      </c>
      <c r="D89" s="9" t="s">
        <v>26</v>
      </c>
    </row>
    <row r="91" spans="1:4" s="1" customFormat="1" x14ac:dyDescent="0.3">
      <c r="A91" s="8" t="s">
        <v>74</v>
      </c>
    </row>
    <row r="92" spans="1:4" x14ac:dyDescent="0.3">
      <c r="A92" s="9" t="s">
        <v>75</v>
      </c>
      <c r="B92" s="9" t="s">
        <v>76</v>
      </c>
      <c r="C92" s="9">
        <f>1.5/0.3048</f>
        <v>4.9212598425196852</v>
      </c>
      <c r="D92" s="9" t="s">
        <v>15</v>
      </c>
    </row>
    <row r="93" spans="1:4" x14ac:dyDescent="0.3">
      <c r="A93" s="9" t="s">
        <v>78</v>
      </c>
      <c r="B93" s="9" t="s">
        <v>77</v>
      </c>
      <c r="C93" s="9">
        <f>2/0.3048</f>
        <v>6.561679790026246</v>
      </c>
      <c r="D93" s="9" t="s">
        <v>15</v>
      </c>
    </row>
    <row r="94" spans="1:4" x14ac:dyDescent="0.3">
      <c r="A94" s="9" t="s">
        <v>79</v>
      </c>
      <c r="B94" s="9" t="s">
        <v>80</v>
      </c>
      <c r="C94" s="9">
        <f>IF(F2="pollo",0.95,0.42)</f>
        <v>0.42</v>
      </c>
      <c r="D94" s="9" t="s">
        <v>81</v>
      </c>
    </row>
    <row r="95" spans="1:4" x14ac:dyDescent="0.3">
      <c r="A95" s="9" t="s">
        <v>83</v>
      </c>
      <c r="B95" s="9" t="s">
        <v>82</v>
      </c>
      <c r="C95" s="9">
        <f>IF(F2="pollo",0.7,0.6)</f>
        <v>0.6</v>
      </c>
      <c r="D95" s="9"/>
    </row>
    <row r="97" spans="1:4" x14ac:dyDescent="0.3">
      <c r="B97" s="9" t="s">
        <v>60</v>
      </c>
      <c r="C97" s="9">
        <f>3790*C92*(C93^1.5)*C94*(1/C95)</f>
        <v>219450.25804999267</v>
      </c>
      <c r="D97" s="9" t="s">
        <v>61</v>
      </c>
    </row>
    <row r="99" spans="1:4" x14ac:dyDescent="0.3">
      <c r="A99" s="9" t="s">
        <v>84</v>
      </c>
      <c r="B99" s="9" t="s">
        <v>85</v>
      </c>
      <c r="C99" s="9">
        <v>20</v>
      </c>
      <c r="D99" s="9"/>
    </row>
    <row r="100" spans="1:4" x14ac:dyDescent="0.3">
      <c r="A100" s="9" t="s">
        <v>87</v>
      </c>
      <c r="B100" s="9" t="s">
        <v>89</v>
      </c>
      <c r="C100" s="9">
        <v>15</v>
      </c>
      <c r="D100" s="9" t="s">
        <v>86</v>
      </c>
    </row>
    <row r="101" spans="1:4" x14ac:dyDescent="0.3">
      <c r="A101" s="9" t="s">
        <v>91</v>
      </c>
      <c r="B101" s="9" t="s">
        <v>88</v>
      </c>
      <c r="C101" s="9">
        <v>15</v>
      </c>
      <c r="D101" s="9" t="s">
        <v>90</v>
      </c>
    </row>
    <row r="102" spans="1:4" x14ac:dyDescent="0.3">
      <c r="A102" s="9" t="s">
        <v>92</v>
      </c>
      <c r="B102" s="9" t="s">
        <v>93</v>
      </c>
      <c r="C102" s="9">
        <v>2</v>
      </c>
      <c r="D102" s="9" t="s">
        <v>12</v>
      </c>
    </row>
    <row r="104" spans="1:4" x14ac:dyDescent="0.3">
      <c r="A104" s="9" t="s">
        <v>96</v>
      </c>
      <c r="B104" s="9" t="s">
        <v>94</v>
      </c>
      <c r="C104" s="9">
        <f>((C99*C100)+(60*C101))/(3600*C102)</f>
        <v>0.16666666666666666</v>
      </c>
    </row>
    <row r="105" spans="1:4" x14ac:dyDescent="0.3">
      <c r="A105" s="9" t="s">
        <v>97</v>
      </c>
      <c r="B105" s="9" t="s">
        <v>95</v>
      </c>
      <c r="C105" s="9">
        <v>1</v>
      </c>
    </row>
    <row r="106" spans="1:4" x14ac:dyDescent="0.3">
      <c r="A106" s="9" t="s">
        <v>99</v>
      </c>
      <c r="B106" s="9" t="s">
        <v>98</v>
      </c>
      <c r="C106" s="9">
        <v>0</v>
      </c>
    </row>
    <row r="108" spans="1:4" x14ac:dyDescent="0.3">
      <c r="B108" s="9" t="s">
        <v>23</v>
      </c>
      <c r="C108" s="9">
        <f>C97*C104*C105*(1-C106)*24</f>
        <v>877801.03219997068</v>
      </c>
      <c r="D108" s="9" t="s">
        <v>26</v>
      </c>
    </row>
    <row r="110" spans="1:4" s="5" customFormat="1" x14ac:dyDescent="0.3">
      <c r="A110" s="13" t="s">
        <v>102</v>
      </c>
      <c r="B110" s="13" t="s">
        <v>101</v>
      </c>
      <c r="C110" s="13">
        <f>(C20*2)+(C22*2)+C40+C68+C77+C83+C89+C108</f>
        <v>1150174.4809602653</v>
      </c>
      <c r="D110" s="13" t="s">
        <v>26</v>
      </c>
    </row>
    <row r="111" spans="1:4" s="5" customFormat="1" x14ac:dyDescent="0.3">
      <c r="A111" s="13" t="s">
        <v>100</v>
      </c>
      <c r="B111" s="13" t="s">
        <v>101</v>
      </c>
      <c r="C111" s="13">
        <f>((C20*2)+(C22*2)+C40+C68+C77+C83+C89+C108)+(C110*0.1)</f>
        <v>1265191.9290562917</v>
      </c>
      <c r="D111" s="13" t="s">
        <v>26</v>
      </c>
    </row>
    <row r="112" spans="1:4" s="5" customFormat="1" x14ac:dyDescent="0.3">
      <c r="A112" s="13" t="s">
        <v>107</v>
      </c>
      <c r="B112" s="13"/>
      <c r="C112" s="13">
        <f>C111/24</f>
        <v>52716.33037734549</v>
      </c>
      <c r="D112" s="13" t="s">
        <v>61</v>
      </c>
    </row>
    <row r="113" spans="1:5" s="5" customFormat="1" x14ac:dyDescent="0.3">
      <c r="A113" s="13"/>
      <c r="B113" s="13"/>
      <c r="C113" s="13">
        <f>C112/12000</f>
        <v>4.3930275314454574</v>
      </c>
      <c r="D113" s="13" t="s">
        <v>108</v>
      </c>
    </row>
    <row r="115" spans="1:5" x14ac:dyDescent="0.3">
      <c r="A115" s="14" t="s">
        <v>119</v>
      </c>
      <c r="B115" s="9"/>
      <c r="C115" s="18">
        <f>C113</f>
        <v>4.3930275314454574</v>
      </c>
      <c r="D115" s="14" t="s">
        <v>108</v>
      </c>
      <c r="E115" s="15"/>
    </row>
    <row r="116" spans="1:5" x14ac:dyDescent="0.3">
      <c r="A116" s="15"/>
      <c r="B116" s="15"/>
      <c r="C116" s="15"/>
      <c r="D116" s="15"/>
      <c r="E116" s="15"/>
    </row>
    <row r="117" spans="1:5" x14ac:dyDescent="0.3">
      <c r="A117" s="15"/>
      <c r="B117" s="15"/>
      <c r="C117" s="15"/>
      <c r="D117" s="15"/>
      <c r="E117" s="15"/>
    </row>
    <row r="118" spans="1:5" x14ac:dyDescent="0.3">
      <c r="A118" s="15"/>
      <c r="B118" s="15"/>
      <c r="C118" s="15"/>
      <c r="D118" s="15"/>
      <c r="E118" s="15"/>
    </row>
    <row r="119" spans="1:5" x14ac:dyDescent="0.3">
      <c r="A119" s="15"/>
      <c r="B119" s="15"/>
      <c r="C119" s="15"/>
      <c r="D119" s="15"/>
      <c r="E119" s="15"/>
    </row>
    <row r="120" spans="1:5" x14ac:dyDescent="0.3">
      <c r="A120" s="15"/>
      <c r="B120" s="15"/>
      <c r="C120" s="15"/>
      <c r="D120" s="15"/>
      <c r="E120" s="15"/>
    </row>
    <row r="121" spans="1:5" x14ac:dyDescent="0.3">
      <c r="A121" s="15"/>
      <c r="B121" s="15"/>
      <c r="C121" s="15"/>
      <c r="D121" s="15"/>
      <c r="E121" s="15"/>
    </row>
    <row r="122" spans="1:5" x14ac:dyDescent="0.3">
      <c r="A122" s="15"/>
      <c r="B122" s="15"/>
      <c r="C122" s="15"/>
      <c r="D122" s="15"/>
      <c r="E122" s="15"/>
    </row>
    <row r="123" spans="1:5" x14ac:dyDescent="0.3">
      <c r="A123" s="15"/>
      <c r="B123" s="15"/>
      <c r="C123" s="15"/>
      <c r="D123" s="15"/>
      <c r="E123" s="15"/>
    </row>
    <row r="124" spans="1:5" x14ac:dyDescent="0.3">
      <c r="A124" s="15"/>
      <c r="B124" s="15"/>
      <c r="C124" s="15"/>
      <c r="D124" s="15"/>
      <c r="E124" s="15"/>
    </row>
    <row r="125" spans="1:5" x14ac:dyDescent="0.3">
      <c r="A125" s="15"/>
      <c r="B125" s="16"/>
      <c r="C125" s="15"/>
      <c r="D125" s="15"/>
      <c r="E125" s="15"/>
    </row>
    <row r="126" spans="1:5" x14ac:dyDescent="0.3">
      <c r="A126" s="15"/>
      <c r="B126" s="15"/>
      <c r="C126" s="15"/>
      <c r="D126" s="15"/>
      <c r="E126" s="15"/>
    </row>
    <row r="127" spans="1:5" x14ac:dyDescent="0.3">
      <c r="A127" s="15"/>
      <c r="B127" s="15"/>
      <c r="C127" s="15"/>
      <c r="D127" s="15"/>
      <c r="E127" s="15"/>
    </row>
    <row r="128" spans="1:5" x14ac:dyDescent="0.3">
      <c r="A128" s="15"/>
      <c r="B128" s="15"/>
      <c r="C128" s="15"/>
      <c r="D128" s="15"/>
      <c r="E128" s="15"/>
    </row>
    <row r="129" spans="1:5" x14ac:dyDescent="0.3">
      <c r="A129" s="15"/>
      <c r="B129" s="15"/>
      <c r="C129" s="15"/>
      <c r="D129" s="15"/>
      <c r="E129" s="15"/>
    </row>
    <row r="130" spans="1:5" x14ac:dyDescent="0.3">
      <c r="A130" s="15"/>
      <c r="B130" s="15"/>
      <c r="C130" s="15"/>
      <c r="D130" s="15"/>
      <c r="E130" s="15"/>
    </row>
    <row r="131" spans="1:5" x14ac:dyDescent="0.3">
      <c r="A131" s="15"/>
      <c r="B131" s="15"/>
      <c r="C131" s="15"/>
      <c r="D131" s="15"/>
      <c r="E131" s="15"/>
    </row>
    <row r="132" spans="1:5" x14ac:dyDescent="0.3">
      <c r="A132" s="15"/>
      <c r="B132" s="15"/>
      <c r="C132" s="15"/>
      <c r="D132" s="15"/>
      <c r="E132" s="15"/>
    </row>
    <row r="133" spans="1:5" x14ac:dyDescent="0.3">
      <c r="A133" s="15"/>
      <c r="B133" s="15"/>
      <c r="C133" s="15"/>
      <c r="D133" s="15"/>
      <c r="E133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42"/>
  <sheetViews>
    <sheetView workbookViewId="0">
      <selection activeCell="B2" sqref="B2"/>
    </sheetView>
  </sheetViews>
  <sheetFormatPr baseColWidth="10" defaultRowHeight="14.4" x14ac:dyDescent="0.3"/>
  <cols>
    <col min="1" max="1" width="11" bestFit="1" customWidth="1"/>
    <col min="2" max="2" width="15.44140625" bestFit="1" customWidth="1"/>
    <col min="3" max="3" width="16.44140625" bestFit="1" customWidth="1"/>
    <col min="4" max="4" width="10" bestFit="1" customWidth="1"/>
    <col min="5" max="5" width="9.44140625" bestFit="1" customWidth="1"/>
    <col min="6" max="6" width="10.88671875" customWidth="1"/>
    <col min="7" max="7" width="11.44140625" bestFit="1" customWidth="1"/>
    <col min="8" max="8" width="10.44140625" bestFit="1" customWidth="1"/>
    <col min="10" max="10" width="16.6640625" bestFit="1" customWidth="1"/>
    <col min="11" max="11" width="11.88671875" bestFit="1" customWidth="1"/>
    <col min="12" max="12" width="16.6640625" bestFit="1" customWidth="1"/>
  </cols>
  <sheetData>
    <row r="1" spans="1:16" s="2" customFormat="1" x14ac:dyDescent="0.3">
      <c r="A1" s="9" t="s">
        <v>195</v>
      </c>
      <c r="B1" s="9" t="s">
        <v>196</v>
      </c>
      <c r="C1" s="9" t="s">
        <v>197</v>
      </c>
      <c r="D1" s="9" t="s">
        <v>198</v>
      </c>
      <c r="E1" s="9" t="s">
        <v>199</v>
      </c>
      <c r="F1" s="9" t="s">
        <v>200</v>
      </c>
      <c r="G1" s="9" t="s">
        <v>201</v>
      </c>
      <c r="H1" s="9" t="s">
        <v>120</v>
      </c>
      <c r="I1" s="16"/>
      <c r="J1" s="16"/>
    </row>
    <row r="2" spans="1:16" s="2" customFormat="1" x14ac:dyDescent="0.3">
      <c r="A2" s="9" t="s">
        <v>121</v>
      </c>
      <c r="B2" s="9">
        <v>-20</v>
      </c>
      <c r="C2" s="9">
        <v>3500</v>
      </c>
      <c r="D2" s="9">
        <v>749.3</v>
      </c>
      <c r="E2" s="9">
        <v>314</v>
      </c>
      <c r="F2" s="9">
        <v>341</v>
      </c>
      <c r="G2" s="9">
        <v>1562</v>
      </c>
      <c r="H2" s="9">
        <v>4529800</v>
      </c>
      <c r="J2" s="16"/>
    </row>
    <row r="3" spans="1:16" x14ac:dyDescent="0.3">
      <c r="A3" s="9" t="s">
        <v>122</v>
      </c>
      <c r="B3" s="9">
        <v>-20</v>
      </c>
      <c r="C3" s="9">
        <v>4000</v>
      </c>
      <c r="D3" s="9">
        <v>749.3</v>
      </c>
      <c r="E3" s="9">
        <v>314</v>
      </c>
      <c r="F3" s="9">
        <v>341</v>
      </c>
      <c r="G3" s="9">
        <v>1677</v>
      </c>
      <c r="H3" s="9">
        <v>4863300</v>
      </c>
      <c r="J3" s="29" t="s">
        <v>205</v>
      </c>
      <c r="K3" s="29"/>
      <c r="L3" s="29"/>
      <c r="M3" s="29"/>
      <c r="N3" s="29"/>
      <c r="O3" s="29"/>
      <c r="P3" s="29"/>
    </row>
    <row r="4" spans="1:16" x14ac:dyDescent="0.3">
      <c r="A4" s="9" t="s">
        <v>123</v>
      </c>
      <c r="B4" s="9">
        <v>-20</v>
      </c>
      <c r="C4" s="9">
        <v>4700</v>
      </c>
      <c r="D4" s="9">
        <v>749.3</v>
      </c>
      <c r="E4" s="9">
        <v>314</v>
      </c>
      <c r="F4" s="9">
        <v>341</v>
      </c>
      <c r="G4" s="9">
        <v>1802</v>
      </c>
      <c r="H4" s="9">
        <v>5225800</v>
      </c>
      <c r="J4" s="9" t="s">
        <v>202</v>
      </c>
      <c r="K4" s="9" t="s">
        <v>203</v>
      </c>
      <c r="L4" s="9" t="s">
        <v>204</v>
      </c>
      <c r="M4" s="14" t="s">
        <v>30</v>
      </c>
      <c r="N4" s="14" t="s">
        <v>14</v>
      </c>
      <c r="O4" s="14" t="s">
        <v>13</v>
      </c>
      <c r="P4" s="14" t="s">
        <v>282</v>
      </c>
    </row>
    <row r="5" spans="1:16" x14ac:dyDescent="0.3">
      <c r="A5" s="9" t="s">
        <v>124</v>
      </c>
      <c r="B5" s="9">
        <v>-20</v>
      </c>
      <c r="C5" s="9">
        <v>6500</v>
      </c>
      <c r="D5" s="9">
        <v>749.3</v>
      </c>
      <c r="E5" s="9">
        <v>314</v>
      </c>
      <c r="F5" s="9">
        <v>341</v>
      </c>
      <c r="G5" s="9">
        <v>2214</v>
      </c>
      <c r="H5" s="9">
        <v>6420600</v>
      </c>
      <c r="J5" s="19">
        <f>Calculos!C112</f>
        <v>52716.33037734549</v>
      </c>
      <c r="K5" s="19" t="s">
        <v>142</v>
      </c>
      <c r="L5" s="19">
        <v>60000</v>
      </c>
      <c r="M5" s="21">
        <v>3130</v>
      </c>
      <c r="N5" s="21">
        <v>640</v>
      </c>
      <c r="O5" s="21">
        <v>550</v>
      </c>
      <c r="P5" s="14">
        <v>14442000</v>
      </c>
    </row>
    <row r="6" spans="1:16" x14ac:dyDescent="0.3">
      <c r="A6" s="9" t="s">
        <v>125</v>
      </c>
      <c r="B6" s="9">
        <v>-20</v>
      </c>
      <c r="C6" s="9">
        <v>7500</v>
      </c>
      <c r="D6" s="9">
        <v>1155</v>
      </c>
      <c r="E6" s="9">
        <v>314</v>
      </c>
      <c r="F6" s="9">
        <v>341</v>
      </c>
      <c r="G6" s="9">
        <v>2424</v>
      </c>
      <c r="H6" s="9">
        <v>7029600</v>
      </c>
      <c r="J6" s="15"/>
      <c r="M6" t="s">
        <v>271</v>
      </c>
      <c r="N6" t="s">
        <v>272</v>
      </c>
      <c r="O6" t="s">
        <v>273</v>
      </c>
    </row>
    <row r="7" spans="1:16" x14ac:dyDescent="0.3">
      <c r="A7" s="9" t="s">
        <v>126</v>
      </c>
      <c r="B7" s="9">
        <v>-20</v>
      </c>
      <c r="C7" s="9">
        <v>9000</v>
      </c>
      <c r="D7" s="9">
        <v>1155</v>
      </c>
      <c r="E7" s="9">
        <v>314</v>
      </c>
      <c r="F7" s="9">
        <v>341</v>
      </c>
      <c r="G7" s="9">
        <v>2629</v>
      </c>
      <c r="H7" s="9">
        <v>7624100</v>
      </c>
      <c r="J7" s="15"/>
    </row>
    <row r="8" spans="1:16" x14ac:dyDescent="0.3">
      <c r="A8" s="9" t="s">
        <v>144</v>
      </c>
      <c r="B8" s="9">
        <v>10</v>
      </c>
      <c r="C8" s="9">
        <v>10100</v>
      </c>
      <c r="D8" s="9">
        <v>1000</v>
      </c>
      <c r="E8" s="9">
        <v>640</v>
      </c>
      <c r="F8" s="9">
        <v>550</v>
      </c>
      <c r="G8" s="9">
        <v>6285</v>
      </c>
      <c r="H8" s="9">
        <v>18226500</v>
      </c>
      <c r="J8" s="16"/>
    </row>
    <row r="9" spans="1:16" x14ac:dyDescent="0.3">
      <c r="A9" s="9" t="s">
        <v>127</v>
      </c>
      <c r="B9" s="9">
        <v>-20</v>
      </c>
      <c r="C9" s="9">
        <v>12000</v>
      </c>
      <c r="D9" s="9">
        <v>1155</v>
      </c>
      <c r="E9" s="9">
        <v>314</v>
      </c>
      <c r="F9" s="9">
        <v>341</v>
      </c>
      <c r="G9" s="9">
        <v>3026</v>
      </c>
      <c r="H9" s="9">
        <v>8775400</v>
      </c>
      <c r="J9" s="16"/>
    </row>
    <row r="10" spans="1:16" x14ac:dyDescent="0.3">
      <c r="A10" s="9" t="s">
        <v>135</v>
      </c>
      <c r="B10" s="9">
        <v>25</v>
      </c>
      <c r="C10" s="9">
        <v>13000</v>
      </c>
      <c r="D10" s="9">
        <v>1000</v>
      </c>
      <c r="E10" s="9">
        <v>640</v>
      </c>
      <c r="F10" s="9">
        <v>550</v>
      </c>
      <c r="G10" s="9">
        <v>2965</v>
      </c>
      <c r="H10" s="9">
        <v>8598500</v>
      </c>
      <c r="J10" s="16"/>
    </row>
    <row r="11" spans="1:16" x14ac:dyDescent="0.3">
      <c r="A11" s="9" t="s">
        <v>128</v>
      </c>
      <c r="B11" s="9">
        <v>-20</v>
      </c>
      <c r="C11" s="9">
        <v>14000</v>
      </c>
      <c r="D11" s="9">
        <v>1155</v>
      </c>
      <c r="E11" s="9">
        <v>314</v>
      </c>
      <c r="F11" s="9">
        <v>341</v>
      </c>
      <c r="G11" s="9">
        <v>3371</v>
      </c>
      <c r="H11" s="9">
        <v>9775900</v>
      </c>
      <c r="J11" s="15"/>
    </row>
    <row r="12" spans="1:16" x14ac:dyDescent="0.3">
      <c r="A12" s="9" t="s">
        <v>145</v>
      </c>
      <c r="B12" s="9">
        <v>10</v>
      </c>
      <c r="C12" s="9">
        <v>14000</v>
      </c>
      <c r="D12" s="9">
        <v>1000</v>
      </c>
      <c r="E12" s="9">
        <v>640</v>
      </c>
      <c r="F12" s="9">
        <v>550</v>
      </c>
      <c r="G12" s="9">
        <v>6855</v>
      </c>
      <c r="H12" s="9">
        <v>19879500</v>
      </c>
      <c r="J12" s="15"/>
    </row>
    <row r="13" spans="1:16" x14ac:dyDescent="0.3">
      <c r="A13" s="9" t="s">
        <v>136</v>
      </c>
      <c r="B13" s="9">
        <v>25</v>
      </c>
      <c r="C13" s="9">
        <v>15500</v>
      </c>
      <c r="D13" s="9">
        <v>1000</v>
      </c>
      <c r="E13" s="9">
        <v>640</v>
      </c>
      <c r="F13" s="9">
        <v>550</v>
      </c>
      <c r="G13" s="9">
        <v>3115</v>
      </c>
      <c r="H13" s="9">
        <v>9033500</v>
      </c>
      <c r="J13" s="15"/>
    </row>
    <row r="14" spans="1:16" x14ac:dyDescent="0.3">
      <c r="A14" s="9" t="s">
        <v>129</v>
      </c>
      <c r="B14" s="9">
        <v>-20</v>
      </c>
      <c r="C14" s="9">
        <v>16000</v>
      </c>
      <c r="D14" s="9">
        <v>1155</v>
      </c>
      <c r="E14" s="9">
        <v>314</v>
      </c>
      <c r="F14" s="9">
        <v>341</v>
      </c>
      <c r="G14" s="9">
        <v>3908</v>
      </c>
      <c r="H14" s="9">
        <v>11333200</v>
      </c>
      <c r="J14" s="15"/>
    </row>
    <row r="15" spans="1:16" x14ac:dyDescent="0.3">
      <c r="A15" s="9" t="s">
        <v>130</v>
      </c>
      <c r="B15" s="9">
        <v>-20</v>
      </c>
      <c r="C15" s="9">
        <v>18000</v>
      </c>
      <c r="D15" s="9">
        <v>1155</v>
      </c>
      <c r="E15" s="9">
        <v>314</v>
      </c>
      <c r="F15" s="9">
        <v>341</v>
      </c>
      <c r="G15" s="9">
        <v>4320</v>
      </c>
      <c r="H15" s="9">
        <v>12528000</v>
      </c>
      <c r="J15" s="15"/>
    </row>
    <row r="16" spans="1:16" x14ac:dyDescent="0.3">
      <c r="A16" s="9" t="s">
        <v>131</v>
      </c>
      <c r="B16" s="9">
        <v>-20</v>
      </c>
      <c r="C16" s="9">
        <v>19000</v>
      </c>
      <c r="D16" s="9">
        <v>1968</v>
      </c>
      <c r="E16" s="9">
        <v>314</v>
      </c>
      <c r="F16" s="9">
        <v>341</v>
      </c>
      <c r="G16" s="9">
        <v>4533</v>
      </c>
      <c r="H16" s="9">
        <v>13145700</v>
      </c>
      <c r="I16" s="15"/>
      <c r="J16" s="15"/>
    </row>
    <row r="17" spans="1:10" x14ac:dyDescent="0.3">
      <c r="A17" s="9" t="s">
        <v>146</v>
      </c>
      <c r="B17" s="9">
        <v>10</v>
      </c>
      <c r="C17" s="9">
        <v>19000</v>
      </c>
      <c r="D17" s="9">
        <v>1000</v>
      </c>
      <c r="E17" s="9">
        <v>640</v>
      </c>
      <c r="F17" s="9">
        <v>550</v>
      </c>
      <c r="G17" s="9">
        <v>7210</v>
      </c>
      <c r="H17" s="9">
        <v>20909000</v>
      </c>
      <c r="I17" s="15"/>
      <c r="J17" s="15"/>
    </row>
    <row r="18" spans="1:10" x14ac:dyDescent="0.3">
      <c r="A18" s="9" t="s">
        <v>132</v>
      </c>
      <c r="B18" s="9">
        <v>-20</v>
      </c>
      <c r="C18" s="9">
        <v>20000</v>
      </c>
      <c r="D18" s="9">
        <v>2781</v>
      </c>
      <c r="E18" s="9">
        <v>314</v>
      </c>
      <c r="F18" s="9">
        <v>341</v>
      </c>
      <c r="G18" s="9">
        <v>5090</v>
      </c>
      <c r="H18" s="9">
        <v>14761000</v>
      </c>
      <c r="I18" s="15"/>
      <c r="J18" s="15"/>
    </row>
    <row r="19" spans="1:10" x14ac:dyDescent="0.3">
      <c r="A19" s="9" t="s">
        <v>133</v>
      </c>
      <c r="B19" s="9">
        <v>-20</v>
      </c>
      <c r="C19" s="9">
        <v>24000</v>
      </c>
      <c r="D19" s="9">
        <v>2781</v>
      </c>
      <c r="E19" s="9">
        <v>314</v>
      </c>
      <c r="F19" s="9">
        <v>341</v>
      </c>
      <c r="G19" s="9">
        <v>6282</v>
      </c>
      <c r="H19" s="9">
        <v>18217800</v>
      </c>
      <c r="I19" s="15"/>
      <c r="J19" s="15"/>
    </row>
    <row r="20" spans="1:10" x14ac:dyDescent="0.3">
      <c r="A20" s="9" t="s">
        <v>137</v>
      </c>
      <c r="B20" s="9">
        <v>25</v>
      </c>
      <c r="C20" s="9">
        <v>24500</v>
      </c>
      <c r="D20" s="9">
        <v>1000</v>
      </c>
      <c r="E20" s="9">
        <v>640</v>
      </c>
      <c r="F20" s="9">
        <v>550</v>
      </c>
      <c r="G20" s="9">
        <v>3250</v>
      </c>
      <c r="H20" s="9">
        <v>9425000</v>
      </c>
      <c r="I20" s="15"/>
      <c r="J20" s="15"/>
    </row>
    <row r="21" spans="1:10" x14ac:dyDescent="0.3">
      <c r="A21" s="9" t="s">
        <v>147</v>
      </c>
      <c r="B21" s="9">
        <v>10</v>
      </c>
      <c r="C21" s="9">
        <v>26000</v>
      </c>
      <c r="D21" s="9">
        <v>1710</v>
      </c>
      <c r="E21" s="9">
        <v>640</v>
      </c>
      <c r="F21" s="9">
        <v>550</v>
      </c>
      <c r="G21" s="9">
        <v>8740</v>
      </c>
      <c r="H21" s="9">
        <v>25346000</v>
      </c>
      <c r="I21" s="15"/>
      <c r="J21" s="15"/>
    </row>
    <row r="22" spans="1:10" s="2" customFormat="1" x14ac:dyDescent="0.3">
      <c r="A22" s="9" t="s">
        <v>134</v>
      </c>
      <c r="B22" s="9">
        <v>-20</v>
      </c>
      <c r="C22" s="9">
        <v>28000</v>
      </c>
      <c r="D22" s="9">
        <v>2781</v>
      </c>
      <c r="E22" s="9">
        <v>314</v>
      </c>
      <c r="F22" s="9">
        <v>341</v>
      </c>
      <c r="G22" s="9">
        <v>7112</v>
      </c>
      <c r="H22" s="9">
        <v>20624800</v>
      </c>
      <c r="I22" s="16"/>
      <c r="J22" s="16"/>
    </row>
    <row r="23" spans="1:10" x14ac:dyDescent="0.3">
      <c r="A23" s="9" t="s">
        <v>138</v>
      </c>
      <c r="B23" s="9">
        <v>25</v>
      </c>
      <c r="C23" s="9">
        <v>30000</v>
      </c>
      <c r="D23" s="9">
        <v>1710</v>
      </c>
      <c r="E23" s="9">
        <v>640</v>
      </c>
      <c r="F23" s="9">
        <v>550</v>
      </c>
      <c r="G23" s="9">
        <v>3445</v>
      </c>
      <c r="H23" s="9">
        <v>9990500</v>
      </c>
      <c r="I23" s="15"/>
      <c r="J23" s="15"/>
    </row>
    <row r="24" spans="1:10" x14ac:dyDescent="0.3">
      <c r="A24" s="9" t="s">
        <v>148</v>
      </c>
      <c r="B24" s="9">
        <v>10</v>
      </c>
      <c r="C24" s="9">
        <v>31000</v>
      </c>
      <c r="D24" s="9">
        <v>2420</v>
      </c>
      <c r="E24" s="9">
        <v>640</v>
      </c>
      <c r="F24" s="9">
        <v>550</v>
      </c>
      <c r="G24" s="9">
        <v>9195</v>
      </c>
      <c r="H24" s="9">
        <v>26665500</v>
      </c>
      <c r="I24" s="15"/>
      <c r="J24" s="15"/>
    </row>
    <row r="25" spans="1:10" x14ac:dyDescent="0.3">
      <c r="A25" s="9" t="s">
        <v>139</v>
      </c>
      <c r="B25" s="9">
        <v>25</v>
      </c>
      <c r="C25" s="9">
        <v>36500</v>
      </c>
      <c r="D25" s="9">
        <v>2420</v>
      </c>
      <c r="E25" s="9">
        <v>640</v>
      </c>
      <c r="F25" s="9">
        <v>550</v>
      </c>
      <c r="G25" s="9">
        <v>4430</v>
      </c>
      <c r="H25" s="9">
        <v>12847000</v>
      </c>
      <c r="I25" s="15"/>
      <c r="J25" s="15"/>
    </row>
    <row r="26" spans="1:10" x14ac:dyDescent="0.3">
      <c r="A26" s="9" t="s">
        <v>149</v>
      </c>
      <c r="B26" s="9">
        <v>10</v>
      </c>
      <c r="C26" s="9">
        <v>39000</v>
      </c>
      <c r="D26" s="9">
        <v>2420</v>
      </c>
      <c r="E26" s="9">
        <v>640</v>
      </c>
      <c r="F26" s="9">
        <v>550</v>
      </c>
      <c r="G26" s="9">
        <v>9380</v>
      </c>
      <c r="H26" s="9">
        <v>27202000</v>
      </c>
      <c r="I26" s="15"/>
      <c r="J26" s="15"/>
    </row>
    <row r="27" spans="1:10" x14ac:dyDescent="0.3">
      <c r="A27" s="9" t="s">
        <v>150</v>
      </c>
      <c r="B27" s="9">
        <v>10</v>
      </c>
      <c r="C27" s="9">
        <v>43000</v>
      </c>
      <c r="D27" s="9">
        <v>2420</v>
      </c>
      <c r="E27" s="9">
        <v>640</v>
      </c>
      <c r="F27" s="9">
        <v>550</v>
      </c>
      <c r="G27" s="9">
        <v>9845</v>
      </c>
      <c r="H27" s="9">
        <v>28550500</v>
      </c>
      <c r="I27" s="15"/>
      <c r="J27" s="15"/>
    </row>
    <row r="28" spans="1:10" x14ac:dyDescent="0.3">
      <c r="A28" s="9" t="s">
        <v>140</v>
      </c>
      <c r="B28" s="9">
        <v>25</v>
      </c>
      <c r="C28" s="9">
        <v>45000</v>
      </c>
      <c r="D28" s="9">
        <v>2420</v>
      </c>
      <c r="E28" s="9">
        <v>640</v>
      </c>
      <c r="F28" s="9">
        <v>550</v>
      </c>
      <c r="G28" s="9">
        <v>4655</v>
      </c>
      <c r="H28" s="9">
        <v>13499500</v>
      </c>
      <c r="I28" s="15"/>
      <c r="J28" s="15"/>
    </row>
    <row r="29" spans="1:10" x14ac:dyDescent="0.3">
      <c r="A29" s="9" t="s">
        <v>168</v>
      </c>
      <c r="B29" s="9">
        <v>-20</v>
      </c>
      <c r="C29" s="9">
        <v>49500</v>
      </c>
      <c r="D29" s="9">
        <v>2111</v>
      </c>
      <c r="E29" s="9">
        <v>1025</v>
      </c>
      <c r="F29" s="9">
        <v>749</v>
      </c>
      <c r="G29" s="9">
        <v>11950</v>
      </c>
      <c r="H29" s="9">
        <f>G29*2900</f>
        <v>34655000</v>
      </c>
      <c r="I29" s="15"/>
      <c r="J29" s="15"/>
    </row>
    <row r="30" spans="1:10" x14ac:dyDescent="0.3">
      <c r="A30" s="9" t="s">
        <v>141</v>
      </c>
      <c r="B30" s="9">
        <v>25</v>
      </c>
      <c r="C30" s="9">
        <v>51000</v>
      </c>
      <c r="D30" s="9">
        <v>3130</v>
      </c>
      <c r="E30" s="9">
        <v>640</v>
      </c>
      <c r="F30" s="9">
        <v>550</v>
      </c>
      <c r="G30" s="9">
        <v>4740</v>
      </c>
      <c r="H30" s="9">
        <v>13746000</v>
      </c>
      <c r="I30" s="15"/>
      <c r="J30" s="15"/>
    </row>
    <row r="31" spans="1:10" x14ac:dyDescent="0.3">
      <c r="A31" s="9" t="s">
        <v>151</v>
      </c>
      <c r="B31" s="9">
        <v>10</v>
      </c>
      <c r="C31" s="9">
        <v>52000</v>
      </c>
      <c r="D31" s="9">
        <v>3130</v>
      </c>
      <c r="E31" s="9">
        <v>640</v>
      </c>
      <c r="F31" s="9">
        <v>550</v>
      </c>
      <c r="G31" s="9">
        <v>10980</v>
      </c>
      <c r="H31" s="9">
        <v>31842000</v>
      </c>
      <c r="I31" s="15"/>
      <c r="J31" s="15"/>
    </row>
    <row r="32" spans="1:10" x14ac:dyDescent="0.3">
      <c r="A32" s="9" t="s">
        <v>153</v>
      </c>
      <c r="B32" s="9">
        <v>-25</v>
      </c>
      <c r="C32" s="9">
        <v>52000</v>
      </c>
      <c r="D32" s="9">
        <v>2111</v>
      </c>
      <c r="E32" s="9">
        <v>1025</v>
      </c>
      <c r="F32" s="9">
        <v>749</v>
      </c>
      <c r="G32" s="9">
        <v>12320</v>
      </c>
      <c r="H32" s="9">
        <f>G32*2900</f>
        <v>35728000</v>
      </c>
      <c r="I32" s="15"/>
      <c r="J32" s="15"/>
    </row>
    <row r="33" spans="1:10" x14ac:dyDescent="0.3">
      <c r="A33" s="9" t="s">
        <v>142</v>
      </c>
      <c r="B33" s="9">
        <v>25</v>
      </c>
      <c r="C33" s="9">
        <v>60000</v>
      </c>
      <c r="D33" s="9">
        <v>3130</v>
      </c>
      <c r="E33" s="9">
        <v>640</v>
      </c>
      <c r="F33" s="9">
        <v>550</v>
      </c>
      <c r="G33" s="9">
        <v>4980</v>
      </c>
      <c r="H33" s="9">
        <v>14442000</v>
      </c>
      <c r="I33" s="15"/>
      <c r="J33" s="15"/>
    </row>
    <row r="34" spans="1:10" x14ac:dyDescent="0.3">
      <c r="A34" s="9" t="s">
        <v>169</v>
      </c>
      <c r="B34" s="9">
        <v>-20</v>
      </c>
      <c r="C34" s="9">
        <v>60500</v>
      </c>
      <c r="D34" s="9">
        <v>2111</v>
      </c>
      <c r="E34" s="9">
        <v>1025</v>
      </c>
      <c r="F34" s="9">
        <v>749</v>
      </c>
      <c r="G34" s="9">
        <v>12650</v>
      </c>
      <c r="H34" s="9">
        <f>G34*2900</f>
        <v>36685000</v>
      </c>
      <c r="I34" s="15"/>
      <c r="J34" s="15"/>
    </row>
    <row r="35" spans="1:10" x14ac:dyDescent="0.3">
      <c r="A35" s="9" t="s">
        <v>152</v>
      </c>
      <c r="B35" s="9">
        <v>10</v>
      </c>
      <c r="C35" s="9">
        <v>62000</v>
      </c>
      <c r="D35" s="9">
        <v>3130</v>
      </c>
      <c r="E35" s="9">
        <v>640</v>
      </c>
      <c r="F35" s="9">
        <v>550</v>
      </c>
      <c r="G35" s="9">
        <v>11550</v>
      </c>
      <c r="H35" s="9">
        <v>33495000</v>
      </c>
      <c r="I35" s="15"/>
      <c r="J35" s="15"/>
    </row>
    <row r="36" spans="1:10" x14ac:dyDescent="0.3">
      <c r="A36" s="9" t="s">
        <v>154</v>
      </c>
      <c r="B36" s="9">
        <v>-25</v>
      </c>
      <c r="C36" s="9">
        <v>63000</v>
      </c>
      <c r="D36" s="9">
        <v>2111</v>
      </c>
      <c r="E36" s="9">
        <v>1025</v>
      </c>
      <c r="F36" s="9">
        <v>749</v>
      </c>
      <c r="G36" s="9">
        <v>12710</v>
      </c>
      <c r="H36" s="9">
        <f>G36*2900</f>
        <v>36859000</v>
      </c>
      <c r="I36" s="15"/>
      <c r="J36" s="15"/>
    </row>
    <row r="37" spans="1:10" x14ac:dyDescent="0.3">
      <c r="A37" s="9" t="s">
        <v>170</v>
      </c>
      <c r="B37" s="9">
        <v>-20</v>
      </c>
      <c r="C37" s="9">
        <v>70400</v>
      </c>
      <c r="D37" s="9">
        <v>2671</v>
      </c>
      <c r="E37" s="9">
        <v>1025</v>
      </c>
      <c r="F37" s="9">
        <v>749</v>
      </c>
      <c r="G37" s="9">
        <v>14805</v>
      </c>
      <c r="H37" s="9">
        <f>G37*2900</f>
        <v>42934500</v>
      </c>
      <c r="I37" s="15"/>
      <c r="J37" s="15"/>
    </row>
    <row r="38" spans="1:10" x14ac:dyDescent="0.3">
      <c r="A38" s="9" t="s">
        <v>143</v>
      </c>
      <c r="B38" s="9">
        <v>25</v>
      </c>
      <c r="C38" s="9">
        <v>71000</v>
      </c>
      <c r="D38" s="9">
        <v>3530</v>
      </c>
      <c r="E38" s="9">
        <v>640</v>
      </c>
      <c r="F38" s="9">
        <v>550</v>
      </c>
      <c r="G38" s="9">
        <v>5970</v>
      </c>
      <c r="H38" s="9">
        <v>17313000</v>
      </c>
      <c r="I38" s="15"/>
      <c r="J38" s="15"/>
    </row>
    <row r="39" spans="1:10" x14ac:dyDescent="0.3">
      <c r="A39" s="9" t="s">
        <v>155</v>
      </c>
      <c r="B39" s="9">
        <v>-25</v>
      </c>
      <c r="C39" s="9">
        <v>75000</v>
      </c>
      <c r="D39" s="9">
        <v>2671</v>
      </c>
      <c r="E39" s="9">
        <v>1025</v>
      </c>
      <c r="F39" s="9">
        <v>749</v>
      </c>
      <c r="G39" s="9">
        <v>14250</v>
      </c>
      <c r="H39" s="9">
        <f t="shared" ref="H39:H59" si="0">G39*2900</f>
        <v>41325000</v>
      </c>
      <c r="I39" s="15"/>
      <c r="J39" s="15"/>
    </row>
    <row r="40" spans="1:10" s="2" customFormat="1" x14ac:dyDescent="0.3">
      <c r="A40" s="9" t="s">
        <v>171</v>
      </c>
      <c r="B40" s="9">
        <v>-20</v>
      </c>
      <c r="C40" s="9">
        <v>81400</v>
      </c>
      <c r="D40" s="9">
        <v>2671</v>
      </c>
      <c r="E40" s="9">
        <v>1025</v>
      </c>
      <c r="F40" s="9">
        <v>749</v>
      </c>
      <c r="G40" s="9">
        <v>14905</v>
      </c>
      <c r="H40" s="9">
        <f t="shared" si="0"/>
        <v>43224500</v>
      </c>
      <c r="I40" s="16"/>
      <c r="J40" s="16"/>
    </row>
    <row r="41" spans="1:10" x14ac:dyDescent="0.3">
      <c r="A41" s="9" t="s">
        <v>156</v>
      </c>
      <c r="B41" s="9">
        <v>-25</v>
      </c>
      <c r="C41" s="9">
        <v>85000</v>
      </c>
      <c r="D41" s="9">
        <v>2671</v>
      </c>
      <c r="E41" s="9">
        <v>1025</v>
      </c>
      <c r="F41" s="9">
        <v>749</v>
      </c>
      <c r="G41" s="9">
        <v>12320</v>
      </c>
      <c r="H41" s="9">
        <f t="shared" si="0"/>
        <v>35728000</v>
      </c>
      <c r="I41" s="15"/>
      <c r="J41" s="15"/>
    </row>
    <row r="42" spans="1:10" x14ac:dyDescent="0.3">
      <c r="A42" s="9" t="s">
        <v>172</v>
      </c>
      <c r="B42" s="9">
        <v>-20</v>
      </c>
      <c r="C42" s="9">
        <v>89100</v>
      </c>
      <c r="D42" s="9">
        <v>3435</v>
      </c>
      <c r="E42" s="9">
        <v>1025</v>
      </c>
      <c r="F42" s="9">
        <v>749</v>
      </c>
      <c r="G42" s="9">
        <v>15809</v>
      </c>
      <c r="H42" s="9">
        <f t="shared" si="0"/>
        <v>45846100</v>
      </c>
      <c r="I42" s="15"/>
      <c r="J42" s="15"/>
    </row>
    <row r="43" spans="1:10" x14ac:dyDescent="0.3">
      <c r="A43" s="9" t="s">
        <v>157</v>
      </c>
      <c r="B43" s="9">
        <v>-25</v>
      </c>
      <c r="C43" s="9">
        <v>93000</v>
      </c>
      <c r="D43" s="9">
        <v>3435</v>
      </c>
      <c r="E43" s="9">
        <v>1025</v>
      </c>
      <c r="F43" s="9">
        <v>749</v>
      </c>
      <c r="G43" s="9">
        <v>14250</v>
      </c>
      <c r="H43" s="9">
        <f t="shared" si="0"/>
        <v>41325000</v>
      </c>
      <c r="I43" s="15"/>
      <c r="J43" s="15"/>
    </row>
    <row r="44" spans="1:10" x14ac:dyDescent="0.3">
      <c r="A44" s="9" t="s">
        <v>173</v>
      </c>
      <c r="B44" s="9">
        <v>-20</v>
      </c>
      <c r="C44" s="9">
        <v>104000</v>
      </c>
      <c r="D44" s="9">
        <v>3435</v>
      </c>
      <c r="E44" s="9">
        <v>1025</v>
      </c>
      <c r="F44" s="9">
        <v>749</v>
      </c>
      <c r="G44" s="9">
        <v>16520</v>
      </c>
      <c r="H44" s="9">
        <f t="shared" si="0"/>
        <v>47908000</v>
      </c>
      <c r="I44" s="15"/>
      <c r="J44" s="15"/>
    </row>
    <row r="45" spans="1:10" x14ac:dyDescent="0.3">
      <c r="A45" s="9" t="s">
        <v>174</v>
      </c>
      <c r="B45" s="9">
        <v>-20</v>
      </c>
      <c r="C45" s="9">
        <v>107100</v>
      </c>
      <c r="D45" s="9">
        <v>3439</v>
      </c>
      <c r="E45" s="9">
        <v>1278</v>
      </c>
      <c r="F45" s="9">
        <v>749</v>
      </c>
      <c r="G45" s="9">
        <v>16560</v>
      </c>
      <c r="H45" s="9">
        <f t="shared" si="0"/>
        <v>48024000</v>
      </c>
      <c r="I45" s="15"/>
      <c r="J45" s="15"/>
    </row>
    <row r="46" spans="1:10" x14ac:dyDescent="0.3">
      <c r="A46" s="9" t="s">
        <v>158</v>
      </c>
      <c r="B46" s="9">
        <v>-25</v>
      </c>
      <c r="C46" s="9">
        <v>110000</v>
      </c>
      <c r="D46" s="9">
        <v>3435</v>
      </c>
      <c r="E46" s="9">
        <v>1025</v>
      </c>
      <c r="F46" s="9">
        <v>749</v>
      </c>
      <c r="G46" s="9">
        <v>13550</v>
      </c>
      <c r="H46" s="9">
        <f t="shared" si="0"/>
        <v>39295000</v>
      </c>
      <c r="I46" s="15"/>
      <c r="J46" s="15"/>
    </row>
    <row r="47" spans="1:10" x14ac:dyDescent="0.3">
      <c r="A47" s="9" t="s">
        <v>159</v>
      </c>
      <c r="B47" s="9">
        <v>-25</v>
      </c>
      <c r="C47" s="9">
        <v>117000</v>
      </c>
      <c r="D47" s="9">
        <v>3439</v>
      </c>
      <c r="E47" s="9">
        <v>1278</v>
      </c>
      <c r="F47" s="9">
        <v>749</v>
      </c>
      <c r="G47" s="9">
        <v>13920</v>
      </c>
      <c r="H47" s="9">
        <f t="shared" si="0"/>
        <v>40368000</v>
      </c>
      <c r="I47" s="15"/>
      <c r="J47" s="15"/>
    </row>
    <row r="48" spans="1:10" x14ac:dyDescent="0.3">
      <c r="A48" s="9" t="s">
        <v>175</v>
      </c>
      <c r="B48" s="9">
        <v>-20</v>
      </c>
      <c r="C48" s="9">
        <v>126000</v>
      </c>
      <c r="D48" s="9">
        <v>3439</v>
      </c>
      <c r="E48" s="9">
        <v>1278</v>
      </c>
      <c r="F48" s="9">
        <v>749</v>
      </c>
      <c r="G48" s="9">
        <v>18509</v>
      </c>
      <c r="H48" s="9">
        <f t="shared" si="0"/>
        <v>53676100</v>
      </c>
      <c r="I48" s="15"/>
      <c r="J48" s="15"/>
    </row>
    <row r="49" spans="1:10" x14ac:dyDescent="0.3">
      <c r="A49" s="9" t="s">
        <v>160</v>
      </c>
      <c r="B49" s="9">
        <v>-25</v>
      </c>
      <c r="C49" s="9">
        <v>140000</v>
      </c>
      <c r="D49" s="9">
        <v>3439</v>
      </c>
      <c r="E49" s="9">
        <v>1278</v>
      </c>
      <c r="F49" s="9">
        <v>749</v>
      </c>
      <c r="G49" s="9">
        <v>15445</v>
      </c>
      <c r="H49" s="9">
        <f t="shared" si="0"/>
        <v>44790500</v>
      </c>
      <c r="I49" s="15"/>
      <c r="J49" s="15"/>
    </row>
    <row r="50" spans="1:10" x14ac:dyDescent="0.3">
      <c r="A50" s="9" t="s">
        <v>176</v>
      </c>
      <c r="B50" s="9">
        <v>-20</v>
      </c>
      <c r="C50" s="9">
        <v>146000</v>
      </c>
      <c r="D50" s="9">
        <v>3439</v>
      </c>
      <c r="E50" s="9">
        <v>1278</v>
      </c>
      <c r="F50" s="9">
        <v>749</v>
      </c>
      <c r="G50" s="9">
        <v>18240</v>
      </c>
      <c r="H50" s="9">
        <f t="shared" si="0"/>
        <v>52896000</v>
      </c>
      <c r="I50" s="15"/>
      <c r="J50" s="15"/>
    </row>
    <row r="51" spans="1:10" x14ac:dyDescent="0.3">
      <c r="A51" s="9" t="s">
        <v>161</v>
      </c>
      <c r="B51" s="9">
        <v>-25</v>
      </c>
      <c r="C51" s="9">
        <v>161000</v>
      </c>
      <c r="D51" s="9">
        <v>3439</v>
      </c>
      <c r="E51" s="9">
        <v>1278</v>
      </c>
      <c r="F51" s="9">
        <v>749</v>
      </c>
      <c r="G51" s="9">
        <v>13525</v>
      </c>
      <c r="H51" s="9">
        <f t="shared" si="0"/>
        <v>39222500</v>
      </c>
      <c r="I51" s="15"/>
      <c r="J51" s="15"/>
    </row>
    <row r="52" spans="1:10" x14ac:dyDescent="0.3">
      <c r="A52" s="9" t="s">
        <v>177</v>
      </c>
      <c r="B52" s="9">
        <v>-20</v>
      </c>
      <c r="C52" s="9">
        <v>174000</v>
      </c>
      <c r="D52" s="9">
        <v>3439</v>
      </c>
      <c r="E52" s="9">
        <v>1278</v>
      </c>
      <c r="F52" s="9">
        <v>749</v>
      </c>
      <c r="G52" s="9">
        <v>18700</v>
      </c>
      <c r="H52" s="9">
        <f t="shared" si="0"/>
        <v>54230000</v>
      </c>
      <c r="I52" s="15"/>
      <c r="J52" s="15"/>
    </row>
    <row r="53" spans="1:10" x14ac:dyDescent="0.3">
      <c r="A53" s="9" t="s">
        <v>162</v>
      </c>
      <c r="B53" s="9">
        <v>-25</v>
      </c>
      <c r="C53" s="9">
        <v>190000</v>
      </c>
      <c r="D53" s="9">
        <v>3439</v>
      </c>
      <c r="E53" s="9">
        <v>1278</v>
      </c>
      <c r="F53" s="9">
        <v>749</v>
      </c>
      <c r="G53" s="9">
        <v>13920</v>
      </c>
      <c r="H53" s="9">
        <f t="shared" si="0"/>
        <v>40368000</v>
      </c>
      <c r="I53" s="15"/>
      <c r="J53" s="15"/>
    </row>
    <row r="54" spans="1:10" x14ac:dyDescent="0.3">
      <c r="A54" s="9" t="s">
        <v>165</v>
      </c>
      <c r="B54" s="9">
        <v>-25</v>
      </c>
      <c r="C54" s="9">
        <v>216000</v>
      </c>
      <c r="D54" s="9">
        <v>4712</v>
      </c>
      <c r="E54" s="9">
        <v>1278</v>
      </c>
      <c r="F54" s="9">
        <v>749</v>
      </c>
      <c r="G54" s="9">
        <v>16185</v>
      </c>
      <c r="H54" s="9">
        <f t="shared" si="0"/>
        <v>46936500</v>
      </c>
      <c r="I54" s="15"/>
      <c r="J54" s="15"/>
    </row>
    <row r="55" spans="1:10" x14ac:dyDescent="0.3">
      <c r="A55" s="9" t="s">
        <v>163</v>
      </c>
      <c r="B55" s="9">
        <v>-25</v>
      </c>
      <c r="C55" s="9">
        <v>220000</v>
      </c>
      <c r="D55" s="9">
        <v>4712</v>
      </c>
      <c r="E55" s="9">
        <v>1278</v>
      </c>
      <c r="F55" s="9">
        <v>749</v>
      </c>
      <c r="G55" s="9">
        <v>15445</v>
      </c>
      <c r="H55" s="9">
        <f t="shared" si="0"/>
        <v>44790500</v>
      </c>
      <c r="I55" s="15"/>
      <c r="J55" s="15"/>
    </row>
    <row r="56" spans="1:10" x14ac:dyDescent="0.3">
      <c r="A56" s="9" t="s">
        <v>178</v>
      </c>
      <c r="B56" s="9">
        <v>-20</v>
      </c>
      <c r="C56" s="9">
        <v>223000</v>
      </c>
      <c r="D56" s="9">
        <v>4712</v>
      </c>
      <c r="E56" s="9">
        <v>1278</v>
      </c>
      <c r="F56" s="9">
        <v>749</v>
      </c>
      <c r="G56" s="9">
        <v>18740</v>
      </c>
      <c r="H56" s="9">
        <f t="shared" si="0"/>
        <v>54346000</v>
      </c>
      <c r="I56" s="15"/>
      <c r="J56" s="15"/>
    </row>
    <row r="57" spans="1:10" x14ac:dyDescent="0.3">
      <c r="A57" s="9" t="s">
        <v>164</v>
      </c>
      <c r="B57" s="9">
        <v>-25</v>
      </c>
      <c r="C57" s="9">
        <v>244000</v>
      </c>
      <c r="D57" s="9">
        <v>4712</v>
      </c>
      <c r="E57" s="9">
        <v>1278</v>
      </c>
      <c r="F57" s="9">
        <v>749</v>
      </c>
      <c r="G57" s="9">
        <v>16080</v>
      </c>
      <c r="H57" s="9">
        <f t="shared" si="0"/>
        <v>46632000</v>
      </c>
      <c r="I57" s="15"/>
      <c r="J57" s="15"/>
    </row>
    <row r="58" spans="1:10" x14ac:dyDescent="0.3">
      <c r="A58" s="9" t="s">
        <v>166</v>
      </c>
      <c r="B58" s="9">
        <v>-25</v>
      </c>
      <c r="C58" s="9">
        <v>250000</v>
      </c>
      <c r="D58" s="9">
        <v>4712</v>
      </c>
      <c r="E58" s="9">
        <v>1278</v>
      </c>
      <c r="F58" s="9">
        <v>749</v>
      </c>
      <c r="G58" s="9">
        <v>18030</v>
      </c>
      <c r="H58" s="9">
        <f t="shared" si="0"/>
        <v>52287000</v>
      </c>
      <c r="I58" s="15"/>
      <c r="J58" s="15"/>
    </row>
    <row r="59" spans="1:10" x14ac:dyDescent="0.3">
      <c r="A59" s="9" t="s">
        <v>167</v>
      </c>
      <c r="B59" s="9">
        <v>-25</v>
      </c>
      <c r="C59" s="9">
        <v>278000</v>
      </c>
      <c r="D59" s="9">
        <v>4712</v>
      </c>
      <c r="E59" s="9">
        <v>1278</v>
      </c>
      <c r="F59" s="9">
        <v>749</v>
      </c>
      <c r="G59" s="9">
        <v>19560</v>
      </c>
      <c r="H59" s="9">
        <f t="shared" si="0"/>
        <v>56724000</v>
      </c>
      <c r="I59" s="15"/>
      <c r="J59" s="15"/>
    </row>
    <row r="60" spans="1:10" x14ac:dyDescent="0.3">
      <c r="A60" s="15"/>
      <c r="B60" s="15"/>
      <c r="C60" s="15"/>
      <c r="D60" s="15"/>
      <c r="E60" s="15"/>
      <c r="F60" s="15"/>
      <c r="G60" s="15"/>
      <c r="H60" s="15"/>
      <c r="I60" s="15"/>
      <c r="J60" s="15"/>
    </row>
    <row r="61" spans="1:10" x14ac:dyDescent="0.3">
      <c r="A61" s="15"/>
      <c r="B61" s="15"/>
      <c r="C61" s="15"/>
      <c r="D61" s="15"/>
      <c r="E61" s="15"/>
      <c r="F61" s="15"/>
      <c r="G61" s="15"/>
      <c r="H61" s="15"/>
      <c r="I61" s="15"/>
      <c r="J61" s="15"/>
    </row>
    <row r="62" spans="1:10" x14ac:dyDescent="0.3">
      <c r="A62" s="15"/>
      <c r="B62" s="15"/>
      <c r="C62" s="15"/>
      <c r="D62" s="15"/>
      <c r="E62" s="15"/>
      <c r="F62" s="15"/>
      <c r="G62" s="15"/>
      <c r="H62" s="15"/>
      <c r="I62" s="15"/>
      <c r="J62" s="15"/>
    </row>
    <row r="63" spans="1:10" x14ac:dyDescent="0.3">
      <c r="A63" s="15"/>
      <c r="B63" s="15"/>
      <c r="C63" s="15"/>
      <c r="D63" s="15"/>
      <c r="E63" s="15"/>
      <c r="F63" s="15"/>
      <c r="G63" s="15"/>
      <c r="H63" s="15"/>
      <c r="I63" s="15"/>
      <c r="J63" s="15"/>
    </row>
    <row r="64" spans="1:10" x14ac:dyDescent="0.3">
      <c r="A64" s="15"/>
      <c r="B64" s="15"/>
      <c r="C64" s="15"/>
      <c r="D64" s="15"/>
      <c r="E64" s="15"/>
      <c r="F64" s="15"/>
      <c r="G64" s="15"/>
      <c r="H64" s="15"/>
      <c r="I64" s="15"/>
      <c r="J64" s="15"/>
    </row>
    <row r="65" spans="1:10" x14ac:dyDescent="0.3">
      <c r="A65" s="15"/>
      <c r="B65" s="15"/>
      <c r="C65" s="15"/>
      <c r="D65" s="15"/>
      <c r="E65" s="15"/>
      <c r="F65" s="15"/>
      <c r="G65" s="15"/>
      <c r="H65" s="15"/>
      <c r="I65" s="15"/>
      <c r="J65" s="15"/>
    </row>
    <row r="66" spans="1:10" x14ac:dyDescent="0.3">
      <c r="A66" s="15"/>
      <c r="B66" s="15"/>
      <c r="C66" s="15"/>
      <c r="D66" s="15"/>
      <c r="E66" s="15"/>
      <c r="F66" s="15"/>
      <c r="G66" s="15"/>
      <c r="H66" s="15"/>
      <c r="I66" s="15"/>
      <c r="J66" s="15"/>
    </row>
    <row r="67" spans="1:10" x14ac:dyDescent="0.3">
      <c r="A67" s="15"/>
      <c r="B67" s="15"/>
      <c r="C67" s="15"/>
      <c r="D67" s="15"/>
      <c r="E67" s="15"/>
      <c r="F67" s="15"/>
      <c r="G67" s="15"/>
      <c r="H67" s="15"/>
      <c r="I67" s="15"/>
      <c r="J67" s="15"/>
    </row>
    <row r="68" spans="1:10" s="2" customFormat="1" x14ac:dyDescent="0.3">
      <c r="A68" s="15"/>
      <c r="B68" s="15"/>
      <c r="C68" s="15"/>
      <c r="D68" s="15"/>
      <c r="E68" s="15"/>
      <c r="F68" s="15"/>
      <c r="G68" s="15"/>
      <c r="H68" s="15"/>
      <c r="I68" s="16"/>
      <c r="J68" s="16"/>
    </row>
    <row r="69" spans="1:10" s="2" customFormat="1" x14ac:dyDescent="0.3">
      <c r="A69" s="15"/>
      <c r="B69" s="15"/>
      <c r="C69" s="15"/>
      <c r="D69" s="15"/>
      <c r="E69" s="15"/>
      <c r="F69" s="15"/>
      <c r="G69" s="15"/>
      <c r="H69" s="15"/>
      <c r="I69" s="16"/>
      <c r="J69" s="16"/>
    </row>
    <row r="70" spans="1:10" x14ac:dyDescent="0.3">
      <c r="A70" s="15"/>
      <c r="B70" s="15"/>
      <c r="C70" s="15"/>
      <c r="D70" s="15"/>
      <c r="E70" s="15"/>
      <c r="F70" s="15"/>
      <c r="G70" s="15"/>
      <c r="H70" s="15"/>
      <c r="I70" s="15"/>
      <c r="J70" s="15"/>
    </row>
    <row r="71" spans="1:10" x14ac:dyDescent="0.3">
      <c r="A71" s="15"/>
      <c r="B71" s="15"/>
      <c r="C71" s="15"/>
      <c r="D71" s="15"/>
      <c r="E71" s="15"/>
      <c r="F71" s="15"/>
      <c r="G71" s="15"/>
      <c r="H71" s="15"/>
      <c r="I71" s="15"/>
      <c r="J71" s="15"/>
    </row>
    <row r="72" spans="1:10" x14ac:dyDescent="0.3">
      <c r="A72" s="15"/>
      <c r="B72" s="15"/>
      <c r="C72" s="15"/>
      <c r="D72" s="15"/>
      <c r="E72" s="15"/>
      <c r="F72" s="15"/>
      <c r="G72" s="15"/>
      <c r="H72" s="15"/>
      <c r="I72" s="15"/>
      <c r="J72" s="15"/>
    </row>
    <row r="73" spans="1:10" x14ac:dyDescent="0.3">
      <c r="A73" s="15"/>
      <c r="B73" s="15"/>
      <c r="C73" s="15"/>
      <c r="D73" s="15"/>
      <c r="E73" s="15"/>
      <c r="F73" s="15"/>
      <c r="G73" s="15"/>
      <c r="H73" s="15"/>
      <c r="I73" s="15"/>
      <c r="J73" s="15"/>
    </row>
    <row r="74" spans="1:10" x14ac:dyDescent="0.3">
      <c r="A74" s="15"/>
      <c r="B74" s="15"/>
      <c r="C74" s="15"/>
      <c r="D74" s="15"/>
      <c r="E74" s="15"/>
      <c r="F74" s="15"/>
      <c r="G74" s="15"/>
      <c r="H74" s="15"/>
      <c r="I74" s="15"/>
      <c r="J74" s="15"/>
    </row>
    <row r="75" spans="1:10" x14ac:dyDescent="0.3">
      <c r="A75" s="15"/>
      <c r="B75" s="15"/>
      <c r="C75" s="15"/>
      <c r="D75" s="15"/>
      <c r="E75" s="15"/>
      <c r="F75" s="15"/>
      <c r="G75" s="15"/>
      <c r="H75" s="15"/>
      <c r="I75" s="15"/>
      <c r="J75" s="15"/>
    </row>
    <row r="76" spans="1:10" s="2" customFormat="1" x14ac:dyDescent="0.3">
      <c r="A76" s="15"/>
      <c r="B76" s="15"/>
      <c r="C76" s="15"/>
      <c r="D76" s="15"/>
      <c r="E76" s="15"/>
      <c r="F76" s="15"/>
      <c r="G76" s="15"/>
      <c r="H76" s="15"/>
      <c r="I76" s="16"/>
      <c r="J76" s="16"/>
    </row>
    <row r="77" spans="1:10" x14ac:dyDescent="0.3">
      <c r="A77" s="15"/>
      <c r="B77" s="15"/>
      <c r="C77" s="15"/>
      <c r="D77" s="15"/>
      <c r="E77" s="15"/>
      <c r="F77" s="15"/>
      <c r="G77" s="15"/>
      <c r="H77" s="15"/>
      <c r="I77" s="15"/>
      <c r="J77" s="15"/>
    </row>
    <row r="78" spans="1:10" x14ac:dyDescent="0.3">
      <c r="A78" s="15"/>
      <c r="B78" s="15"/>
      <c r="C78" s="15"/>
      <c r="D78" s="15"/>
      <c r="E78" s="15"/>
      <c r="F78" s="15"/>
      <c r="G78" s="15"/>
      <c r="H78" s="15"/>
      <c r="I78" s="15"/>
      <c r="J78" s="15"/>
    </row>
    <row r="79" spans="1:10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</row>
    <row r="80" spans="1:10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</row>
    <row r="81" spans="1:10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</row>
    <row r="82" spans="1:10" s="2" customFormat="1" x14ac:dyDescent="0.3">
      <c r="A82" s="15"/>
      <c r="B82" s="15"/>
      <c r="C82" s="15"/>
      <c r="D82" s="15"/>
      <c r="E82" s="15"/>
      <c r="F82" s="15"/>
      <c r="G82" s="15"/>
      <c r="H82" s="15"/>
      <c r="I82" s="16"/>
      <c r="J82" s="16"/>
    </row>
    <row r="83" spans="1:10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</row>
    <row r="84" spans="1:10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</row>
    <row r="85" spans="1:10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</row>
    <row r="86" spans="1:10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</row>
    <row r="87" spans="1:10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</row>
    <row r="88" spans="1:10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</row>
    <row r="89" spans="1:10" s="2" customFormat="1" x14ac:dyDescent="0.3">
      <c r="A89" s="15"/>
      <c r="B89" s="15"/>
      <c r="C89" s="15"/>
      <c r="D89" s="15"/>
      <c r="E89" s="15"/>
      <c r="F89" s="15"/>
      <c r="G89" s="15"/>
      <c r="H89" s="15"/>
      <c r="I89" s="16"/>
      <c r="J89" s="16"/>
    </row>
    <row r="90" spans="1:10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</row>
    <row r="91" spans="1:10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</row>
    <row r="92" spans="1:10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</row>
    <row r="93" spans="1:10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</row>
    <row r="94" spans="1:10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</row>
    <row r="95" spans="1:10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</row>
    <row r="96" spans="1:10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</row>
    <row r="97" spans="1:10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</row>
    <row r="98" spans="1:10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</row>
    <row r="99" spans="1:10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</row>
    <row r="100" spans="1:10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</row>
    <row r="101" spans="1:10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</row>
    <row r="102" spans="1:10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</row>
    <row r="103" spans="1:10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</row>
    <row r="104" spans="1:10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</row>
    <row r="105" spans="1:10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</row>
    <row r="106" spans="1:10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</row>
    <row r="107" spans="1:10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</row>
    <row r="108" spans="1:10" s="2" customFormat="1" x14ac:dyDescent="0.3">
      <c r="A108" s="16"/>
      <c r="B108" s="16"/>
      <c r="C108" s="16"/>
      <c r="D108" s="16"/>
      <c r="E108" s="16"/>
      <c r="F108" s="16"/>
      <c r="G108" s="16"/>
      <c r="H108" s="16"/>
      <c r="I108" s="16"/>
      <c r="J108" s="16"/>
    </row>
    <row r="109" spans="1:10" s="2" customFormat="1" x14ac:dyDescent="0.3">
      <c r="A109" s="16"/>
      <c r="B109" s="16"/>
      <c r="C109" s="16"/>
      <c r="D109" s="16"/>
      <c r="E109" s="16"/>
      <c r="F109" s="16"/>
      <c r="G109" s="16"/>
      <c r="H109" s="16"/>
      <c r="I109" s="16"/>
      <c r="J109" s="16"/>
    </row>
    <row r="110" spans="1:10" s="2" customFormat="1" x14ac:dyDescent="0.3">
      <c r="A110" s="16"/>
      <c r="B110" s="16"/>
      <c r="C110" s="16"/>
      <c r="D110" s="16"/>
      <c r="E110" s="16"/>
      <c r="F110" s="16"/>
      <c r="G110" s="16"/>
      <c r="H110" s="16"/>
      <c r="I110" s="16"/>
      <c r="J110" s="16"/>
    </row>
    <row r="111" spans="1:10" s="2" customFormat="1" x14ac:dyDescent="0.3">
      <c r="A111" s="16"/>
      <c r="B111" s="16"/>
      <c r="C111" s="16"/>
      <c r="D111" s="16"/>
      <c r="E111" s="16"/>
      <c r="F111" s="16"/>
      <c r="G111" s="16"/>
      <c r="H111" s="16"/>
      <c r="I111" s="16"/>
      <c r="J111" s="16"/>
    </row>
    <row r="112" spans="1:10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</row>
    <row r="113" spans="1:10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</row>
    <row r="114" spans="1:10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</row>
    <row r="115" spans="1:10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</row>
    <row r="116" spans="1:10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</row>
    <row r="117" spans="1:10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</row>
    <row r="118" spans="1:10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</row>
    <row r="119" spans="1:10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</row>
    <row r="120" spans="1:10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</row>
    <row r="121" spans="1:10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</row>
    <row r="122" spans="1:10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</row>
    <row r="123" spans="1:10" x14ac:dyDescent="0.3">
      <c r="A123" s="15"/>
      <c r="B123" s="16"/>
      <c r="C123" s="15"/>
      <c r="D123" s="15"/>
      <c r="E123" s="15"/>
      <c r="F123" s="15"/>
      <c r="G123" s="15"/>
      <c r="H123" s="15"/>
      <c r="I123" s="15"/>
      <c r="J123" s="15"/>
    </row>
    <row r="124" spans="1:10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</row>
    <row r="125" spans="1:10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</row>
    <row r="126" spans="1:10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</row>
    <row r="127" spans="1:10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</row>
    <row r="128" spans="1:10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</row>
    <row r="129" spans="1:10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</row>
    <row r="130" spans="1:10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</row>
    <row r="131" spans="1:10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</row>
    <row r="132" spans="1:10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</row>
    <row r="133" spans="1:10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</row>
    <row r="134" spans="1:10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</row>
    <row r="135" spans="1:10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</row>
    <row r="136" spans="1:10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</row>
    <row r="137" spans="1:10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</row>
    <row r="138" spans="1:10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</row>
    <row r="139" spans="1:10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</row>
    <row r="140" spans="1:10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</row>
    <row r="141" spans="1:10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</row>
    <row r="142" spans="1:10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</row>
  </sheetData>
  <sortState ref="A2:H59">
    <sortCondition ref="C2:C59"/>
  </sortState>
  <mergeCells count="1">
    <mergeCell ref="J3:P3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52"/>
  <sheetViews>
    <sheetView tabSelected="1" workbookViewId="0">
      <selection activeCell="D31" sqref="D31"/>
    </sheetView>
  </sheetViews>
  <sheetFormatPr baseColWidth="10" defaultRowHeight="14.4" x14ac:dyDescent="0.3"/>
  <cols>
    <col min="1" max="1" width="10.88671875" customWidth="1"/>
    <col min="2" max="2" width="8" customWidth="1"/>
    <col min="3" max="3" width="13.44140625" customWidth="1"/>
    <col min="4" max="4" width="16.44140625" customWidth="1"/>
    <col min="5" max="5" width="10" bestFit="1" customWidth="1"/>
    <col min="6" max="6" width="9.44140625" bestFit="1" customWidth="1"/>
    <col min="7" max="7" width="10.44140625" bestFit="1" customWidth="1"/>
    <col min="8" max="8" width="12" bestFit="1" customWidth="1"/>
    <col min="9" max="9" width="11" bestFit="1" customWidth="1"/>
    <col min="11" max="11" width="15.44140625" bestFit="1" customWidth="1"/>
    <col min="13" max="13" width="16.6640625" bestFit="1" customWidth="1"/>
  </cols>
  <sheetData>
    <row r="1" spans="1:17" s="2" customFormat="1" x14ac:dyDescent="0.3">
      <c r="A1" s="20" t="s">
        <v>206</v>
      </c>
      <c r="B1" s="20" t="s">
        <v>207</v>
      </c>
      <c r="C1" s="20" t="s">
        <v>208</v>
      </c>
      <c r="D1" s="20" t="s">
        <v>209</v>
      </c>
      <c r="E1" s="20" t="s">
        <v>210</v>
      </c>
      <c r="F1" s="20" t="s">
        <v>211</v>
      </c>
      <c r="G1" s="9" t="s">
        <v>248</v>
      </c>
      <c r="H1" s="20" t="s">
        <v>212</v>
      </c>
      <c r="I1" s="20" t="s">
        <v>213</v>
      </c>
      <c r="J1" s="16"/>
      <c r="K1" s="16"/>
      <c r="L1" s="16"/>
    </row>
    <row r="2" spans="1:17" s="2" customFormat="1" x14ac:dyDescent="0.3">
      <c r="A2" s="9" t="s">
        <v>187</v>
      </c>
      <c r="B2" s="9" t="s">
        <v>311</v>
      </c>
      <c r="C2" s="9" t="s">
        <v>309</v>
      </c>
      <c r="D2" s="9" t="s">
        <v>312</v>
      </c>
      <c r="E2" s="9">
        <v>20</v>
      </c>
      <c r="F2" s="9" t="s">
        <v>310</v>
      </c>
      <c r="G2" s="9">
        <v>50</v>
      </c>
      <c r="H2" s="9">
        <v>4</v>
      </c>
      <c r="I2" s="9">
        <f t="shared" ref="I2:I4" si="0">H2*2900</f>
        <v>11600</v>
      </c>
      <c r="J2" s="16"/>
      <c r="K2" s="16"/>
      <c r="L2" s="16"/>
    </row>
    <row r="3" spans="1:17" s="2" customFormat="1" x14ac:dyDescent="0.3">
      <c r="A3" s="9" t="s">
        <v>188</v>
      </c>
      <c r="B3" s="9">
        <v>30</v>
      </c>
      <c r="C3" s="9">
        <v>90</v>
      </c>
      <c r="D3" s="9">
        <v>56740</v>
      </c>
      <c r="E3" s="9">
        <v>1314.45</v>
      </c>
      <c r="F3" s="9">
        <v>996.95</v>
      </c>
      <c r="G3" s="9">
        <v>933.45</v>
      </c>
      <c r="H3" s="9">
        <v>7600</v>
      </c>
      <c r="I3" s="9">
        <f t="shared" si="0"/>
        <v>22040000</v>
      </c>
      <c r="J3" s="16"/>
      <c r="K3" s="30" t="s">
        <v>205</v>
      </c>
      <c r="L3" s="31"/>
      <c r="M3" s="31"/>
      <c r="N3" s="31"/>
      <c r="O3" s="31"/>
      <c r="P3" s="31"/>
      <c r="Q3" s="32"/>
    </row>
    <row r="4" spans="1:17" s="2" customFormat="1" x14ac:dyDescent="0.3">
      <c r="A4" s="9" t="s">
        <v>179</v>
      </c>
      <c r="B4" s="9">
        <v>40</v>
      </c>
      <c r="C4" s="9">
        <v>90</v>
      </c>
      <c r="D4" s="9">
        <v>58950</v>
      </c>
      <c r="E4" s="9">
        <v>1314.45</v>
      </c>
      <c r="F4" s="9">
        <v>996.95</v>
      </c>
      <c r="G4" s="9">
        <v>933.45</v>
      </c>
      <c r="H4" s="9">
        <v>3500</v>
      </c>
      <c r="I4" s="9">
        <f t="shared" si="0"/>
        <v>10150000</v>
      </c>
      <c r="J4" s="16"/>
      <c r="K4" s="9" t="s">
        <v>202</v>
      </c>
      <c r="L4" s="9" t="s">
        <v>203</v>
      </c>
      <c r="M4" s="9" t="s">
        <v>204</v>
      </c>
      <c r="N4" s="14" t="s">
        <v>30</v>
      </c>
      <c r="O4" s="14" t="s">
        <v>14</v>
      </c>
      <c r="P4" s="14" t="s">
        <v>13</v>
      </c>
      <c r="Q4" s="14" t="s">
        <v>282</v>
      </c>
    </row>
    <row r="5" spans="1:17" s="2" customFormat="1" x14ac:dyDescent="0.3">
      <c r="A5" s="9" t="s">
        <v>180</v>
      </c>
      <c r="B5" s="9">
        <v>40</v>
      </c>
      <c r="C5" s="9">
        <v>90</v>
      </c>
      <c r="D5" s="9">
        <v>66260</v>
      </c>
      <c r="E5" s="9">
        <v>1314.45</v>
      </c>
      <c r="F5" s="9">
        <v>996.95</v>
      </c>
      <c r="G5" s="9">
        <v>933.45</v>
      </c>
      <c r="H5" s="9">
        <v>4200</v>
      </c>
      <c r="I5" s="9">
        <f t="shared" ref="I5:I17" si="1">H5*2900</f>
        <v>12180000</v>
      </c>
      <c r="J5" s="16"/>
      <c r="K5" s="19">
        <f>Calculos!C112</f>
        <v>52716.33037734549</v>
      </c>
      <c r="L5" s="19" t="s">
        <v>188</v>
      </c>
      <c r="M5" s="19">
        <v>56740</v>
      </c>
      <c r="N5" s="21">
        <v>1314.45</v>
      </c>
      <c r="O5" s="21">
        <v>996.95</v>
      </c>
      <c r="P5" s="21">
        <v>933.45</v>
      </c>
      <c r="Q5" s="14">
        <v>22040000</v>
      </c>
    </row>
    <row r="6" spans="1:17" s="2" customFormat="1" x14ac:dyDescent="0.3">
      <c r="A6" s="9" t="s">
        <v>189</v>
      </c>
      <c r="B6" s="9">
        <v>30</v>
      </c>
      <c r="C6" s="9">
        <v>90</v>
      </c>
      <c r="D6" s="9">
        <v>68730</v>
      </c>
      <c r="E6" s="9">
        <v>1314.45</v>
      </c>
      <c r="F6" s="9">
        <v>996.95</v>
      </c>
      <c r="G6" s="9">
        <v>933.45</v>
      </c>
      <c r="H6" s="9">
        <v>7800</v>
      </c>
      <c r="I6" s="9">
        <f t="shared" si="1"/>
        <v>22620000</v>
      </c>
      <c r="J6" s="16"/>
      <c r="K6" s="16"/>
      <c r="L6" s="16"/>
      <c r="N6" s="2" t="s">
        <v>269</v>
      </c>
      <c r="O6" s="2" t="s">
        <v>269</v>
      </c>
      <c r="P6" s="2" t="s">
        <v>270</v>
      </c>
    </row>
    <row r="7" spans="1:17" s="2" customFormat="1" x14ac:dyDescent="0.3">
      <c r="A7" s="9" t="s">
        <v>181</v>
      </c>
      <c r="B7" s="9">
        <v>40</v>
      </c>
      <c r="C7" s="9">
        <v>90</v>
      </c>
      <c r="D7" s="9">
        <v>81870</v>
      </c>
      <c r="E7" s="9">
        <v>1314.45</v>
      </c>
      <c r="F7" s="9">
        <v>996.95</v>
      </c>
      <c r="G7" s="9">
        <v>933.45</v>
      </c>
      <c r="H7" s="9">
        <v>4500</v>
      </c>
      <c r="I7" s="9">
        <f t="shared" si="1"/>
        <v>13050000</v>
      </c>
      <c r="J7" s="16"/>
      <c r="K7" s="16"/>
      <c r="L7" s="16"/>
    </row>
    <row r="8" spans="1:17" s="2" customFormat="1" x14ac:dyDescent="0.3">
      <c r="A8" s="9" t="s">
        <v>190</v>
      </c>
      <c r="B8" s="9">
        <v>30</v>
      </c>
      <c r="C8" s="9">
        <v>90</v>
      </c>
      <c r="D8" s="9">
        <v>82870</v>
      </c>
      <c r="E8" s="9">
        <v>1314.45</v>
      </c>
      <c r="F8" s="9">
        <v>996.95</v>
      </c>
      <c r="G8" s="9">
        <v>933.45</v>
      </c>
      <c r="H8" s="9">
        <v>8200</v>
      </c>
      <c r="I8" s="9">
        <f t="shared" si="1"/>
        <v>23780000</v>
      </c>
      <c r="J8" s="16"/>
      <c r="K8" s="16"/>
      <c r="L8" s="16"/>
    </row>
    <row r="9" spans="1:17" s="2" customFormat="1" x14ac:dyDescent="0.3">
      <c r="A9" s="9" t="s">
        <v>182</v>
      </c>
      <c r="B9" s="9">
        <v>40</v>
      </c>
      <c r="C9" s="9">
        <v>90</v>
      </c>
      <c r="D9" s="9">
        <v>96300</v>
      </c>
      <c r="E9" s="9">
        <v>1314.45</v>
      </c>
      <c r="F9" s="9">
        <v>996.95</v>
      </c>
      <c r="G9" s="9">
        <v>933.45</v>
      </c>
      <c r="H9" s="9">
        <v>4800</v>
      </c>
      <c r="I9" s="9">
        <f t="shared" si="1"/>
        <v>13920000</v>
      </c>
      <c r="J9" s="16"/>
      <c r="K9" s="16"/>
      <c r="L9" s="16"/>
    </row>
    <row r="10" spans="1:17" s="2" customFormat="1" x14ac:dyDescent="0.3">
      <c r="A10" s="9" t="s">
        <v>191</v>
      </c>
      <c r="B10" s="9">
        <v>30</v>
      </c>
      <c r="C10" s="9">
        <v>90</v>
      </c>
      <c r="D10" s="9">
        <v>98300</v>
      </c>
      <c r="E10" s="9">
        <v>1314.45</v>
      </c>
      <c r="F10" s="9">
        <v>996.95</v>
      </c>
      <c r="G10" s="9">
        <v>933.45</v>
      </c>
      <c r="H10" s="9">
        <v>8500</v>
      </c>
      <c r="I10" s="9">
        <f t="shared" si="1"/>
        <v>24650000</v>
      </c>
      <c r="J10" s="16"/>
      <c r="K10" s="16"/>
      <c r="L10" s="16"/>
    </row>
    <row r="11" spans="1:17" s="2" customFormat="1" x14ac:dyDescent="0.3">
      <c r="A11" s="9" t="s">
        <v>192</v>
      </c>
      <c r="B11" s="9">
        <v>30</v>
      </c>
      <c r="C11" s="9">
        <v>90</v>
      </c>
      <c r="D11" s="9">
        <v>114500</v>
      </c>
      <c r="E11" s="9">
        <v>1619.25</v>
      </c>
      <c r="F11" s="9">
        <v>996.95</v>
      </c>
      <c r="G11" s="9">
        <v>933.45</v>
      </c>
      <c r="H11" s="9">
        <v>8700</v>
      </c>
      <c r="I11" s="9">
        <f t="shared" si="1"/>
        <v>25230000</v>
      </c>
      <c r="J11" s="16"/>
      <c r="K11" s="16"/>
      <c r="L11" s="16"/>
    </row>
    <row r="12" spans="1:17" s="2" customFormat="1" x14ac:dyDescent="0.3">
      <c r="A12" s="9" t="s">
        <v>183</v>
      </c>
      <c r="B12" s="9">
        <v>40</v>
      </c>
      <c r="C12" s="9">
        <v>90</v>
      </c>
      <c r="D12" s="9">
        <v>116560</v>
      </c>
      <c r="E12" s="9">
        <v>1314.45</v>
      </c>
      <c r="F12" s="9">
        <v>996.95</v>
      </c>
      <c r="G12" s="9">
        <v>933.45</v>
      </c>
      <c r="H12" s="9">
        <v>5200</v>
      </c>
      <c r="I12" s="9">
        <f t="shared" si="1"/>
        <v>15080000</v>
      </c>
      <c r="J12" s="16"/>
      <c r="K12" s="16"/>
      <c r="L12" s="16"/>
    </row>
    <row r="13" spans="1:17" s="2" customFormat="1" x14ac:dyDescent="0.3">
      <c r="A13" s="9" t="s">
        <v>193</v>
      </c>
      <c r="B13" s="9">
        <v>30</v>
      </c>
      <c r="C13" s="9">
        <v>90</v>
      </c>
      <c r="D13" s="9">
        <v>133750</v>
      </c>
      <c r="E13" s="9">
        <v>1619.25</v>
      </c>
      <c r="F13" s="9">
        <v>996.95</v>
      </c>
      <c r="G13" s="9">
        <v>933.45</v>
      </c>
      <c r="H13" s="9">
        <v>8900</v>
      </c>
      <c r="I13" s="9">
        <f t="shared" si="1"/>
        <v>25810000</v>
      </c>
      <c r="J13" s="16"/>
      <c r="K13" s="16"/>
      <c r="L13" s="16"/>
    </row>
    <row r="14" spans="1:17" s="2" customFormat="1" x14ac:dyDescent="0.3">
      <c r="A14" s="9" t="s">
        <v>184</v>
      </c>
      <c r="B14" s="9">
        <v>40</v>
      </c>
      <c r="C14" s="9">
        <v>90</v>
      </c>
      <c r="D14" s="9">
        <v>135700</v>
      </c>
      <c r="E14" s="9">
        <v>1619.25</v>
      </c>
      <c r="F14" s="9">
        <v>996.95</v>
      </c>
      <c r="G14" s="9">
        <v>933.45</v>
      </c>
      <c r="H14" s="9">
        <v>6200</v>
      </c>
      <c r="I14" s="9">
        <f t="shared" si="1"/>
        <v>17980000</v>
      </c>
      <c r="J14" s="16"/>
      <c r="K14" s="16"/>
      <c r="L14" s="16"/>
    </row>
    <row r="15" spans="1:17" s="2" customFormat="1" x14ac:dyDescent="0.3">
      <c r="A15" s="9" t="s">
        <v>185</v>
      </c>
      <c r="B15" s="9">
        <v>40</v>
      </c>
      <c r="C15" s="9">
        <v>90</v>
      </c>
      <c r="D15" s="9">
        <v>152900</v>
      </c>
      <c r="E15" s="9">
        <v>1619.25</v>
      </c>
      <c r="F15" s="9">
        <v>996.95</v>
      </c>
      <c r="G15" s="9">
        <v>933.45</v>
      </c>
      <c r="H15" s="9">
        <v>6500</v>
      </c>
      <c r="I15" s="9">
        <f t="shared" si="1"/>
        <v>18850000</v>
      </c>
      <c r="J15" s="16"/>
      <c r="K15" s="16"/>
      <c r="L15" s="16"/>
    </row>
    <row r="16" spans="1:17" s="2" customFormat="1" x14ac:dyDescent="0.3">
      <c r="A16" s="9" t="s">
        <v>194</v>
      </c>
      <c r="B16" s="9">
        <v>30</v>
      </c>
      <c r="C16" s="9">
        <v>90</v>
      </c>
      <c r="D16" s="9">
        <v>155630</v>
      </c>
      <c r="E16" s="9">
        <v>1619.25</v>
      </c>
      <c r="F16" s="9">
        <v>996.95</v>
      </c>
      <c r="G16" s="9">
        <v>933.45</v>
      </c>
      <c r="H16" s="9">
        <v>9200</v>
      </c>
      <c r="I16" s="9">
        <f t="shared" si="1"/>
        <v>26680000</v>
      </c>
      <c r="J16" s="16"/>
      <c r="K16" s="16"/>
      <c r="L16" s="16"/>
    </row>
    <row r="17" spans="1:12" s="2" customFormat="1" x14ac:dyDescent="0.3">
      <c r="A17" s="9" t="s">
        <v>186</v>
      </c>
      <c r="B17" s="9">
        <v>40</v>
      </c>
      <c r="C17" s="9">
        <v>90</v>
      </c>
      <c r="D17" s="9">
        <v>180630</v>
      </c>
      <c r="E17" s="9">
        <v>1619.25</v>
      </c>
      <c r="F17" s="9">
        <v>996.95</v>
      </c>
      <c r="G17" s="9">
        <v>933.45</v>
      </c>
      <c r="H17" s="9">
        <v>6700</v>
      </c>
      <c r="I17" s="9">
        <f t="shared" si="1"/>
        <v>19430000</v>
      </c>
      <c r="J17" s="16"/>
      <c r="K17" s="16"/>
      <c r="L17" s="16"/>
    </row>
    <row r="18" spans="1:12" s="2" customFormat="1" x14ac:dyDescent="0.3">
      <c r="J18" s="16"/>
      <c r="K18" s="16"/>
      <c r="L18" s="16"/>
    </row>
    <row r="19" spans="1:12" s="2" customFormat="1" x14ac:dyDescent="0.3">
      <c r="J19" s="16"/>
      <c r="K19" s="16"/>
      <c r="L19" s="16"/>
    </row>
    <row r="20" spans="1:12" s="2" customFormat="1" x14ac:dyDescent="0.3">
      <c r="J20" s="16"/>
      <c r="K20" s="16"/>
      <c r="L20" s="16"/>
    </row>
    <row r="21" spans="1:12" s="2" customFormat="1" x14ac:dyDescent="0.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</row>
    <row r="22" spans="1:12" s="2" customFormat="1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</row>
    <row r="23" spans="1:12" s="2" customFormat="1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</row>
    <row r="24" spans="1:12" s="2" customFormat="1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</row>
    <row r="25" spans="1:12" s="2" customFormat="1" x14ac:dyDescent="0.3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</row>
    <row r="26" spans="1:12" s="2" customFormat="1" x14ac:dyDescent="0.3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</row>
    <row r="27" spans="1:12" s="2" customFormat="1" x14ac:dyDescent="0.3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</row>
    <row r="28" spans="1:12" s="2" customFormat="1" x14ac:dyDescent="0.3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</row>
    <row r="29" spans="1:12" s="2" customFormat="1" x14ac:dyDescent="0.3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</row>
    <row r="30" spans="1:12" s="2" customFormat="1" x14ac:dyDescent="0.3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</row>
    <row r="31" spans="1:12" s="2" customFormat="1" x14ac:dyDescent="0.3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</row>
    <row r="32" spans="1:12" s="2" customFormat="1" x14ac:dyDescent="0.3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</row>
    <row r="33" spans="1:12" s="2" customFormat="1" x14ac:dyDescent="0.3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</row>
    <row r="34" spans="1:12" s="2" customFormat="1" x14ac:dyDescent="0.3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</row>
    <row r="35" spans="1:12" s="2" customFormat="1" x14ac:dyDescent="0.3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</row>
    <row r="36" spans="1:12" s="2" customFormat="1" x14ac:dyDescent="0.3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</row>
    <row r="37" spans="1:12" s="2" customFormat="1" x14ac:dyDescent="0.3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</row>
    <row r="38" spans="1:12" s="2" customFormat="1" x14ac:dyDescent="0.3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</row>
    <row r="39" spans="1:12" s="2" customFormat="1" x14ac:dyDescent="0.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</row>
    <row r="40" spans="1:12" s="2" customFormat="1" x14ac:dyDescent="0.3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</row>
    <row r="41" spans="1:12" s="2" customFormat="1" x14ac:dyDescent="0.3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</row>
    <row r="42" spans="1:12" s="2" customFormat="1" x14ac:dyDescent="0.3">
      <c r="A42" s="16"/>
      <c r="B42" s="16"/>
      <c r="C42" s="17"/>
      <c r="D42" s="16"/>
      <c r="E42" s="16"/>
      <c r="F42" s="16"/>
      <c r="G42" s="16"/>
      <c r="H42" s="16"/>
      <c r="I42" s="16"/>
      <c r="J42" s="16"/>
      <c r="K42" s="16"/>
      <c r="L42" s="16"/>
    </row>
    <row r="43" spans="1:12" s="2" customFormat="1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</row>
    <row r="44" spans="1:12" s="2" customFormat="1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</row>
    <row r="45" spans="1:12" s="2" customFormat="1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</row>
    <row r="46" spans="1:12" s="2" customFormat="1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</row>
    <row r="47" spans="1:12" s="2" customFormat="1" x14ac:dyDescent="0.3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</row>
    <row r="48" spans="1:12" s="2" customFormat="1" x14ac:dyDescent="0.3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</row>
    <row r="49" spans="1:12" s="2" customFormat="1" x14ac:dyDescent="0.3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</row>
    <row r="50" spans="1:12" s="2" customFormat="1" x14ac:dyDescent="0.3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</row>
    <row r="51" spans="1:12" s="2" customFormat="1" x14ac:dyDescent="0.3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</row>
    <row r="52" spans="1:12" s="2" customFormat="1" x14ac:dyDescent="0.3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</row>
    <row r="53" spans="1:12" s="2" customFormat="1" x14ac:dyDescent="0.3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</row>
    <row r="54" spans="1:12" s="2" customFormat="1" x14ac:dyDescent="0.3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</row>
    <row r="55" spans="1:12" s="2" customFormat="1" x14ac:dyDescent="0.3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</row>
    <row r="56" spans="1:12" s="2" customFormat="1" x14ac:dyDescent="0.3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</row>
    <row r="57" spans="1:12" s="2" customFormat="1" x14ac:dyDescent="0.3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</row>
    <row r="58" spans="1:12" s="2" customFormat="1" x14ac:dyDescent="0.3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</row>
    <row r="59" spans="1:12" s="2" customFormat="1" x14ac:dyDescent="0.3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</row>
    <row r="60" spans="1:12" s="2" customFormat="1" x14ac:dyDescent="0.3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</row>
    <row r="61" spans="1:12" s="2" customFormat="1" x14ac:dyDescent="0.3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</row>
    <row r="62" spans="1:12" s="2" customFormat="1" x14ac:dyDescent="0.3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</row>
    <row r="63" spans="1:12" s="2" customFormat="1" x14ac:dyDescent="0.3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</row>
    <row r="64" spans="1:12" s="2" customFormat="1" x14ac:dyDescent="0.3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</row>
    <row r="65" spans="1:12" s="2" customFormat="1" x14ac:dyDescent="0.3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</row>
    <row r="66" spans="1:12" s="2" customFormat="1" x14ac:dyDescent="0.3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</row>
    <row r="67" spans="1:12" s="2" customFormat="1" x14ac:dyDescent="0.3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</row>
    <row r="68" spans="1:12" s="2" customFormat="1" x14ac:dyDescent="0.3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</row>
    <row r="69" spans="1:12" s="2" customFormat="1" x14ac:dyDescent="0.3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</row>
    <row r="70" spans="1:12" s="2" customFormat="1" x14ac:dyDescent="0.3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</row>
    <row r="71" spans="1:12" s="2" customFormat="1" x14ac:dyDescent="0.3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</row>
    <row r="72" spans="1:12" s="2" customFormat="1" x14ac:dyDescent="0.3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</row>
    <row r="73" spans="1:12" s="2" customFormat="1" x14ac:dyDescent="0.3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</row>
    <row r="74" spans="1:12" s="2" customFormat="1" x14ac:dyDescent="0.3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</row>
    <row r="75" spans="1:12" s="2" customFormat="1" x14ac:dyDescent="0.3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</row>
    <row r="76" spans="1:12" s="2" customFormat="1" x14ac:dyDescent="0.3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</row>
    <row r="77" spans="1:12" s="2" customFormat="1" x14ac:dyDescent="0.3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</row>
    <row r="78" spans="1:12" s="2" customFormat="1" x14ac:dyDescent="0.3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</row>
    <row r="79" spans="1:12" s="2" customFormat="1" x14ac:dyDescent="0.3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</row>
    <row r="80" spans="1:12" s="2" customFormat="1" x14ac:dyDescent="0.3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</row>
    <row r="81" spans="1:12" s="2" customFormat="1" x14ac:dyDescent="0.3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</row>
    <row r="82" spans="1:12" s="2" customFormat="1" x14ac:dyDescent="0.3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</row>
    <row r="83" spans="1:12" s="2" customFormat="1" x14ac:dyDescent="0.3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</row>
    <row r="84" spans="1:12" s="2" customFormat="1" x14ac:dyDescent="0.3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</row>
    <row r="85" spans="1:12" s="2" customFormat="1" x14ac:dyDescent="0.3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</row>
    <row r="86" spans="1:12" s="2" customFormat="1" x14ac:dyDescent="0.3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</row>
    <row r="87" spans="1:12" s="2" customFormat="1" x14ac:dyDescent="0.3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</row>
    <row r="88" spans="1:12" s="2" customFormat="1" x14ac:dyDescent="0.3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</row>
    <row r="89" spans="1:12" s="2" customFormat="1" x14ac:dyDescent="0.3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</row>
    <row r="90" spans="1:12" s="2" customFormat="1" x14ac:dyDescent="0.3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</row>
    <row r="91" spans="1:12" s="2" customFormat="1" x14ac:dyDescent="0.3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</row>
    <row r="92" spans="1:12" s="2" customFormat="1" x14ac:dyDescent="0.3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</row>
    <row r="93" spans="1:12" s="2" customFormat="1" x14ac:dyDescent="0.3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</row>
    <row r="94" spans="1:12" s="2" customFormat="1" x14ac:dyDescent="0.3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</row>
    <row r="95" spans="1:12" s="2" customFormat="1" x14ac:dyDescent="0.3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</row>
    <row r="96" spans="1:12" s="2" customFormat="1" x14ac:dyDescent="0.3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</row>
    <row r="97" spans="1:12" s="2" customFormat="1" x14ac:dyDescent="0.3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</row>
    <row r="98" spans="1:12" s="2" customFormat="1" x14ac:dyDescent="0.3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</row>
    <row r="99" spans="1:12" s="2" customFormat="1" x14ac:dyDescent="0.3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</row>
    <row r="100" spans="1:12" s="2" customFormat="1" x14ac:dyDescent="0.3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</row>
    <row r="101" spans="1:12" s="2" customFormat="1" x14ac:dyDescent="0.3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</row>
    <row r="102" spans="1:12" s="2" customFormat="1" x14ac:dyDescent="0.3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</row>
    <row r="103" spans="1:12" s="2" customFormat="1" x14ac:dyDescent="0.3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</row>
    <row r="104" spans="1:12" s="2" customFormat="1" x14ac:dyDescent="0.3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</row>
    <row r="105" spans="1:12" s="2" customFormat="1" x14ac:dyDescent="0.3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</row>
    <row r="106" spans="1:12" s="2" customFormat="1" x14ac:dyDescent="0.3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</row>
    <row r="107" spans="1:12" s="2" customFormat="1" x14ac:dyDescent="0.3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</row>
    <row r="108" spans="1:12" s="2" customFormat="1" x14ac:dyDescent="0.3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</row>
    <row r="109" spans="1:12" s="2" customFormat="1" x14ac:dyDescent="0.3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</row>
    <row r="110" spans="1:12" s="2" customFormat="1" x14ac:dyDescent="0.3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</row>
    <row r="111" spans="1:12" s="2" customFormat="1" x14ac:dyDescent="0.3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</row>
    <row r="112" spans="1:12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</row>
    <row r="113" spans="1:12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</row>
    <row r="114" spans="1:12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</row>
    <row r="115" spans="1:12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</row>
    <row r="116" spans="1:12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</row>
    <row r="117" spans="1:12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</row>
    <row r="118" spans="1:12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</row>
    <row r="119" spans="1:12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</row>
    <row r="120" spans="1:12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</row>
    <row r="121" spans="1:12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</row>
    <row r="122" spans="1:12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</row>
    <row r="123" spans="1:12" x14ac:dyDescent="0.3">
      <c r="A123" s="15"/>
      <c r="B123" s="16"/>
      <c r="C123" s="15"/>
      <c r="D123" s="15"/>
      <c r="E123" s="15"/>
      <c r="F123" s="15"/>
      <c r="G123" s="15"/>
      <c r="H123" s="15"/>
      <c r="I123" s="15"/>
      <c r="J123" s="15"/>
      <c r="K123" s="15"/>
      <c r="L123" s="15"/>
    </row>
    <row r="124" spans="1:12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</row>
    <row r="125" spans="1:12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</row>
    <row r="126" spans="1:12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</row>
    <row r="127" spans="1:12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</row>
    <row r="128" spans="1:12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</row>
    <row r="129" spans="1:12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</row>
    <row r="130" spans="1:12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</row>
    <row r="131" spans="1:12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</row>
    <row r="132" spans="1:12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</row>
    <row r="133" spans="1:12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</row>
    <row r="134" spans="1:12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2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</row>
    <row r="136" spans="1:12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</row>
    <row r="137" spans="1:12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2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</row>
    <row r="139" spans="1:12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</row>
    <row r="140" spans="1:12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</row>
    <row r="141" spans="1:12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</row>
    <row r="142" spans="1:12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</row>
    <row r="143" spans="1:12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</row>
    <row r="144" spans="1:12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</row>
    <row r="145" spans="1:12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</row>
    <row r="146" spans="1:12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</row>
    <row r="147" spans="1:12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</row>
    <row r="148" spans="1:12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</row>
    <row r="149" spans="1:12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</row>
    <row r="150" spans="1:12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</row>
    <row r="151" spans="1:12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</row>
    <row r="152" spans="1:12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</row>
  </sheetData>
  <sortState ref="A2:I17">
    <sortCondition ref="D2:D17"/>
  </sortState>
  <mergeCells count="1">
    <mergeCell ref="K3:Q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21"/>
  <sheetViews>
    <sheetView workbookViewId="0">
      <selection activeCell="G29" sqref="G29"/>
    </sheetView>
  </sheetViews>
  <sheetFormatPr baseColWidth="10" defaultRowHeight="14.4" x14ac:dyDescent="0.3"/>
  <cols>
    <col min="2" max="2" width="23.6640625" bestFit="1" customWidth="1"/>
    <col min="3" max="3" width="16.44140625" bestFit="1" customWidth="1"/>
    <col min="7" max="7" width="20" bestFit="1" customWidth="1"/>
  </cols>
  <sheetData>
    <row r="1" spans="1:9" x14ac:dyDescent="0.3">
      <c r="A1" s="29" t="s">
        <v>243</v>
      </c>
      <c r="B1" s="29"/>
      <c r="C1" s="29"/>
      <c r="D1" s="29"/>
      <c r="E1" s="29"/>
      <c r="F1" s="24"/>
    </row>
    <row r="2" spans="1:9" x14ac:dyDescent="0.3">
      <c r="A2" s="9"/>
      <c r="B2" s="22" t="s">
        <v>214</v>
      </c>
      <c r="C2" s="22" t="s">
        <v>220</v>
      </c>
      <c r="D2" s="22" t="s">
        <v>215</v>
      </c>
      <c r="E2" s="22" t="s">
        <v>216</v>
      </c>
      <c r="F2" s="23"/>
      <c r="G2" s="24"/>
      <c r="H2" s="24"/>
      <c r="I2" s="24"/>
    </row>
    <row r="3" spans="1:9" x14ac:dyDescent="0.3">
      <c r="A3" s="33" t="s">
        <v>228</v>
      </c>
      <c r="B3" s="9" t="s">
        <v>217</v>
      </c>
      <c r="C3" s="9" t="s">
        <v>218</v>
      </c>
      <c r="D3" s="9">
        <f>Evaporadoras!N5/2</f>
        <v>320</v>
      </c>
      <c r="E3" s="9" t="s">
        <v>219</v>
      </c>
      <c r="G3" s="29" t="s">
        <v>283</v>
      </c>
      <c r="H3" s="29"/>
      <c r="I3" s="29"/>
    </row>
    <row r="4" spans="1:9" x14ac:dyDescent="0.3">
      <c r="A4" s="33"/>
      <c r="B4" s="9" t="s">
        <v>221</v>
      </c>
      <c r="C4" s="9" t="s">
        <v>222</v>
      </c>
      <c r="D4" s="9">
        <v>3</v>
      </c>
      <c r="E4" s="9" t="s">
        <v>223</v>
      </c>
      <c r="G4" s="9" t="s">
        <v>284</v>
      </c>
      <c r="H4" s="9">
        <f>IF(D3&lt;=157,10000,IF(D3&lt;=320,20000,30000))</f>
        <v>20000</v>
      </c>
      <c r="I4" s="9" t="s">
        <v>286</v>
      </c>
    </row>
    <row r="5" spans="1:9" x14ac:dyDescent="0.3">
      <c r="A5" s="33"/>
      <c r="B5" s="9" t="s">
        <v>224</v>
      </c>
      <c r="C5" s="9" t="s">
        <v>225</v>
      </c>
      <c r="D5" s="9">
        <f>0.75*25.4</f>
        <v>19.049999999999997</v>
      </c>
      <c r="E5" s="9" t="s">
        <v>219</v>
      </c>
      <c r="G5" s="9" t="s">
        <v>285</v>
      </c>
      <c r="H5" s="9">
        <f>IF(D14&lt;=157,10000,IF(D14&lt;=320,20000,30000))</f>
        <v>30000</v>
      </c>
      <c r="I5" s="9" t="s">
        <v>286</v>
      </c>
    </row>
    <row r="6" spans="1:9" x14ac:dyDescent="0.3">
      <c r="A6" s="33"/>
      <c r="B6" s="9" t="s">
        <v>226</v>
      </c>
      <c r="C6" s="9" t="s">
        <v>227</v>
      </c>
      <c r="D6" s="9">
        <f>D3/(D4+1)</f>
        <v>80</v>
      </c>
      <c r="E6" s="9" t="s">
        <v>219</v>
      </c>
    </row>
    <row r="7" spans="1:9" ht="15" customHeight="1" x14ac:dyDescent="0.3">
      <c r="A7" s="34" t="s">
        <v>235</v>
      </c>
      <c r="B7" s="9" t="s">
        <v>229</v>
      </c>
      <c r="C7" s="9" t="s">
        <v>230</v>
      </c>
      <c r="D7" s="9">
        <f>Evaporadoras!O5</f>
        <v>550</v>
      </c>
      <c r="E7" s="9" t="s">
        <v>219</v>
      </c>
    </row>
    <row r="8" spans="1:9" x14ac:dyDescent="0.3">
      <c r="A8" s="35"/>
      <c r="B8" s="9" t="s">
        <v>231</v>
      </c>
      <c r="C8" s="9" t="s">
        <v>232</v>
      </c>
      <c r="D8" s="9">
        <f>D7*0.08</f>
        <v>44</v>
      </c>
      <c r="E8" s="9" t="s">
        <v>219</v>
      </c>
    </row>
    <row r="9" spans="1:9" x14ac:dyDescent="0.3">
      <c r="A9" s="35"/>
      <c r="B9" s="9" t="s">
        <v>233</v>
      </c>
      <c r="C9" s="9" t="s">
        <v>234</v>
      </c>
      <c r="D9" s="9">
        <f>D7*0.25</f>
        <v>137.5</v>
      </c>
      <c r="E9" s="9" t="s">
        <v>219</v>
      </c>
    </row>
    <row r="10" spans="1:9" x14ac:dyDescent="0.3">
      <c r="A10" s="36"/>
      <c r="B10" s="14" t="s">
        <v>245</v>
      </c>
      <c r="C10" s="14" t="s">
        <v>246</v>
      </c>
      <c r="D10" s="9">
        <f>D3*0.9</f>
        <v>288</v>
      </c>
      <c r="E10" s="14" t="s">
        <v>219</v>
      </c>
    </row>
    <row r="12" spans="1:9" x14ac:dyDescent="0.3">
      <c r="A12" s="29" t="s">
        <v>244</v>
      </c>
      <c r="B12" s="29"/>
      <c r="C12" s="29"/>
      <c r="D12" s="29"/>
      <c r="E12" s="29"/>
    </row>
    <row r="13" spans="1:9" x14ac:dyDescent="0.3">
      <c r="A13" s="9"/>
      <c r="B13" s="22" t="s">
        <v>214</v>
      </c>
      <c r="C13" s="22" t="s">
        <v>220</v>
      </c>
      <c r="D13" s="22" t="s">
        <v>215</v>
      </c>
      <c r="E13" s="22" t="s">
        <v>216</v>
      </c>
    </row>
    <row r="14" spans="1:9" x14ac:dyDescent="0.3">
      <c r="A14" s="33" t="s">
        <v>228</v>
      </c>
      <c r="B14" s="9" t="s">
        <v>217</v>
      </c>
      <c r="C14" s="9" t="s">
        <v>236</v>
      </c>
      <c r="D14" s="9">
        <f>Condensadoras!O5/2</f>
        <v>498.47500000000002</v>
      </c>
      <c r="E14" s="9" t="s">
        <v>219</v>
      </c>
    </row>
    <row r="15" spans="1:9" x14ac:dyDescent="0.3">
      <c r="A15" s="33"/>
      <c r="B15" s="9" t="s">
        <v>221</v>
      </c>
      <c r="C15" s="9" t="s">
        <v>237</v>
      </c>
      <c r="D15" s="9">
        <v>3</v>
      </c>
      <c r="E15" s="9" t="s">
        <v>223</v>
      </c>
    </row>
    <row r="16" spans="1:9" x14ac:dyDescent="0.3">
      <c r="A16" s="33"/>
      <c r="B16" s="9" t="s">
        <v>224</v>
      </c>
      <c r="C16" s="9" t="s">
        <v>238</v>
      </c>
      <c r="D16" s="9">
        <f>0.75*25.4</f>
        <v>19.049999999999997</v>
      </c>
      <c r="E16" s="9" t="s">
        <v>219</v>
      </c>
    </row>
    <row r="17" spans="1:5" x14ac:dyDescent="0.3">
      <c r="A17" s="33"/>
      <c r="B17" s="9" t="s">
        <v>226</v>
      </c>
      <c r="C17" s="9" t="s">
        <v>239</v>
      </c>
      <c r="D17" s="9">
        <f>D14/(D15+1)</f>
        <v>124.61875000000001</v>
      </c>
      <c r="E17" s="9" t="s">
        <v>219</v>
      </c>
    </row>
    <row r="18" spans="1:5" ht="15" customHeight="1" x14ac:dyDescent="0.3">
      <c r="A18" s="33" t="s">
        <v>235</v>
      </c>
      <c r="B18" s="9" t="s">
        <v>229</v>
      </c>
      <c r="C18" s="9" t="s">
        <v>240</v>
      </c>
      <c r="D18" s="9">
        <f>Condensadoras!P5</f>
        <v>933.45</v>
      </c>
      <c r="E18" s="9" t="s">
        <v>219</v>
      </c>
    </row>
    <row r="19" spans="1:5" x14ac:dyDescent="0.3">
      <c r="A19" s="33"/>
      <c r="B19" s="9" t="s">
        <v>231</v>
      </c>
      <c r="C19" s="9" t="s">
        <v>241</v>
      </c>
      <c r="D19" s="9">
        <f>D18*0.08</f>
        <v>74.676000000000002</v>
      </c>
      <c r="E19" s="9" t="s">
        <v>219</v>
      </c>
    </row>
    <row r="20" spans="1:5" x14ac:dyDescent="0.3">
      <c r="A20" s="33"/>
      <c r="B20" s="9" t="s">
        <v>233</v>
      </c>
      <c r="C20" s="9" t="s">
        <v>242</v>
      </c>
      <c r="D20" s="9">
        <f>D18*0.25</f>
        <v>233.36250000000001</v>
      </c>
      <c r="E20" s="9" t="s">
        <v>219</v>
      </c>
    </row>
    <row r="21" spans="1:5" x14ac:dyDescent="0.3">
      <c r="A21" s="33"/>
      <c r="B21" s="14" t="s">
        <v>245</v>
      </c>
      <c r="C21" s="14" t="s">
        <v>247</v>
      </c>
      <c r="D21" s="9">
        <f>D14*0.9</f>
        <v>448.62750000000005</v>
      </c>
      <c r="E21" s="14" t="s">
        <v>219</v>
      </c>
    </row>
  </sheetData>
  <mergeCells count="7">
    <mergeCell ref="G3:I3"/>
    <mergeCell ref="A18:A21"/>
    <mergeCell ref="A3:A6"/>
    <mergeCell ref="A1:E1"/>
    <mergeCell ref="A12:E12"/>
    <mergeCell ref="A14:A17"/>
    <mergeCell ref="A7:A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3:E28"/>
  <sheetViews>
    <sheetView workbookViewId="0">
      <selection activeCell="D8" sqref="D8"/>
    </sheetView>
  </sheetViews>
  <sheetFormatPr baseColWidth="10" defaultRowHeight="14.4" x14ac:dyDescent="0.3"/>
  <cols>
    <col min="2" max="2" width="30.5546875" bestFit="1" customWidth="1"/>
    <col min="3" max="3" width="19.109375" customWidth="1"/>
    <col min="10" max="10" width="11.88671875" bestFit="1" customWidth="1"/>
  </cols>
  <sheetData>
    <row r="3" spans="2:5" x14ac:dyDescent="0.3">
      <c r="B3" s="29" t="s">
        <v>289</v>
      </c>
      <c r="C3" s="29"/>
      <c r="D3" s="29"/>
      <c r="E3" s="29"/>
    </row>
    <row r="4" spans="2:5" x14ac:dyDescent="0.3">
      <c r="B4" s="9" t="s">
        <v>214</v>
      </c>
      <c r="C4" s="9" t="s">
        <v>288</v>
      </c>
      <c r="D4" s="9" t="s">
        <v>215</v>
      </c>
      <c r="E4" s="9" t="s">
        <v>287</v>
      </c>
    </row>
    <row r="5" spans="2:5" x14ac:dyDescent="0.3">
      <c r="B5" s="9" t="s">
        <v>14</v>
      </c>
      <c r="C5" s="9" t="s">
        <v>223</v>
      </c>
      <c r="D5" s="9">
        <v>2400</v>
      </c>
      <c r="E5" s="9" t="s">
        <v>219</v>
      </c>
    </row>
    <row r="6" spans="2:5" x14ac:dyDescent="0.3">
      <c r="B6" s="9" t="s">
        <v>13</v>
      </c>
      <c r="C6" s="9" t="s">
        <v>223</v>
      </c>
      <c r="D6" s="9">
        <v>600</v>
      </c>
      <c r="E6" s="9" t="s">
        <v>219</v>
      </c>
    </row>
    <row r="7" spans="2:5" x14ac:dyDescent="0.3">
      <c r="B7" s="9" t="s">
        <v>30</v>
      </c>
      <c r="C7" s="9" t="s">
        <v>223</v>
      </c>
      <c r="D7" s="9">
        <v>900</v>
      </c>
      <c r="E7" s="9" t="s">
        <v>219</v>
      </c>
    </row>
    <row r="8" spans="2:5" x14ac:dyDescent="0.3">
      <c r="B8" s="9" t="s">
        <v>302</v>
      </c>
      <c r="C8" t="s">
        <v>301</v>
      </c>
      <c r="D8" s="9">
        <f>INT(('Dimensiones cuarto'!D2-(2*'Ubicacion espacial'!D15))/(D6+'Ubicacion espacial'!D16))</f>
        <v>6</v>
      </c>
      <c r="E8" s="9" t="s">
        <v>223</v>
      </c>
    </row>
    <row r="9" spans="2:5" x14ac:dyDescent="0.3">
      <c r="B9" s="9" t="s">
        <v>303</v>
      </c>
      <c r="C9" s="9" t="s">
        <v>300</v>
      </c>
      <c r="D9" s="9">
        <f>INT(('Dimensiones cuarto'!D10-('Ubicacion espacial'!D15))/(D7+'Ubicacion espacial'!D17))-1</f>
        <v>8</v>
      </c>
      <c r="E9" s="9" t="s">
        <v>223</v>
      </c>
    </row>
    <row r="10" spans="2:5" x14ac:dyDescent="0.3">
      <c r="B10" s="14" t="s">
        <v>297</v>
      </c>
      <c r="C10" s="28" t="s">
        <v>223</v>
      </c>
      <c r="D10" s="9">
        <f>D8*D9</f>
        <v>48</v>
      </c>
      <c r="E10" s="9"/>
    </row>
    <row r="12" spans="2:5" x14ac:dyDescent="0.3">
      <c r="B12" s="29" t="s">
        <v>290</v>
      </c>
      <c r="C12" s="29"/>
      <c r="D12" s="29"/>
      <c r="E12" s="29"/>
    </row>
    <row r="13" spans="2:5" x14ac:dyDescent="0.3">
      <c r="B13" s="9" t="s">
        <v>214</v>
      </c>
      <c r="C13" s="9" t="s">
        <v>288</v>
      </c>
      <c r="D13" s="9" t="s">
        <v>215</v>
      </c>
      <c r="E13" s="9" t="s">
        <v>287</v>
      </c>
    </row>
    <row r="14" spans="2:5" x14ac:dyDescent="0.3">
      <c r="B14" s="9" t="s">
        <v>14</v>
      </c>
      <c r="C14" s="9" t="s">
        <v>223</v>
      </c>
      <c r="D14" s="9">
        <v>1400</v>
      </c>
      <c r="E14" s="9" t="s">
        <v>219</v>
      </c>
    </row>
    <row r="15" spans="2:5" x14ac:dyDescent="0.3">
      <c r="B15" s="9" t="s">
        <v>13</v>
      </c>
      <c r="C15" s="9" t="s">
        <v>223</v>
      </c>
      <c r="D15" s="9">
        <v>600</v>
      </c>
      <c r="E15" s="9" t="s">
        <v>219</v>
      </c>
    </row>
    <row r="16" spans="2:5" x14ac:dyDescent="0.3">
      <c r="B16" s="9" t="s">
        <v>30</v>
      </c>
      <c r="C16" s="27" t="s">
        <v>223</v>
      </c>
      <c r="D16" s="9">
        <v>900</v>
      </c>
      <c r="E16" s="9" t="s">
        <v>219</v>
      </c>
    </row>
    <row r="17" spans="2:5" x14ac:dyDescent="0.3">
      <c r="B17" s="9" t="s">
        <v>302</v>
      </c>
      <c r="C17" s="9" t="s">
        <v>299</v>
      </c>
      <c r="D17" s="9">
        <f>D8</f>
        <v>6</v>
      </c>
      <c r="E17" s="9" t="s">
        <v>223</v>
      </c>
    </row>
    <row r="18" spans="2:5" x14ac:dyDescent="0.3">
      <c r="B18" s="15"/>
      <c r="C18" s="15"/>
      <c r="D18" s="15"/>
      <c r="E18" s="15"/>
    </row>
    <row r="19" spans="2:5" x14ac:dyDescent="0.3">
      <c r="B19" s="29" t="s">
        <v>296</v>
      </c>
      <c r="C19" s="29"/>
      <c r="D19" s="29"/>
    </row>
    <row r="20" spans="2:5" x14ac:dyDescent="0.3">
      <c r="B20" s="9" t="s">
        <v>14</v>
      </c>
      <c r="C20" s="26">
        <v>273</v>
      </c>
      <c r="D20" s="26" t="s">
        <v>219</v>
      </c>
    </row>
    <row r="21" spans="2:5" x14ac:dyDescent="0.3">
      <c r="B21" s="9" t="s">
        <v>13</v>
      </c>
      <c r="C21" s="26">
        <v>400</v>
      </c>
      <c r="D21" s="26" t="s">
        <v>219</v>
      </c>
    </row>
    <row r="22" spans="2:5" x14ac:dyDescent="0.3">
      <c r="B22" s="9" t="s">
        <v>30</v>
      </c>
      <c r="C22" s="26">
        <v>600</v>
      </c>
      <c r="D22" s="26" t="s">
        <v>219</v>
      </c>
    </row>
    <row r="23" spans="2:5" x14ac:dyDescent="0.3">
      <c r="B23" s="9" t="s">
        <v>73</v>
      </c>
      <c r="C23" s="9">
        <f>(10*D8*D9)+(6*D17)</f>
        <v>516</v>
      </c>
      <c r="D23" s="9" t="s">
        <v>223</v>
      </c>
    </row>
    <row r="24" spans="2:5" x14ac:dyDescent="0.3">
      <c r="B24" s="9" t="s">
        <v>282</v>
      </c>
      <c r="C24" s="9">
        <v>10000</v>
      </c>
      <c r="D24" s="9" t="s">
        <v>286</v>
      </c>
    </row>
    <row r="26" spans="2:5" x14ac:dyDescent="0.3">
      <c r="B26" s="30" t="s">
        <v>282</v>
      </c>
      <c r="C26" s="31"/>
      <c r="D26" s="32"/>
    </row>
    <row r="27" spans="2:5" x14ac:dyDescent="0.3">
      <c r="B27" s="9" t="s">
        <v>295</v>
      </c>
      <c r="C27" s="9">
        <v>300000</v>
      </c>
      <c r="D27" s="9" t="s">
        <v>286</v>
      </c>
    </row>
    <row r="28" spans="2:5" x14ac:dyDescent="0.3">
      <c r="B28" s="9" t="s">
        <v>290</v>
      </c>
      <c r="C28" s="9">
        <v>250000</v>
      </c>
      <c r="D28" s="9" t="s">
        <v>286</v>
      </c>
    </row>
  </sheetData>
  <mergeCells count="4">
    <mergeCell ref="B3:E3"/>
    <mergeCell ref="B12:E12"/>
    <mergeCell ref="B26:D26"/>
    <mergeCell ref="B19:D19"/>
  </mergeCells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E18"/>
  <sheetViews>
    <sheetView workbookViewId="0">
      <selection activeCell="E5" sqref="E5"/>
    </sheetView>
  </sheetViews>
  <sheetFormatPr baseColWidth="10" defaultRowHeight="14.4" x14ac:dyDescent="0.3"/>
  <cols>
    <col min="2" max="2" width="34" bestFit="1" customWidth="1"/>
    <col min="3" max="3" width="17.6640625" bestFit="1" customWidth="1"/>
    <col min="4" max="4" width="11.88671875" bestFit="1" customWidth="1"/>
  </cols>
  <sheetData>
    <row r="2" spans="2:5" x14ac:dyDescent="0.3">
      <c r="B2" s="29" t="s">
        <v>278</v>
      </c>
      <c r="C2" s="29"/>
      <c r="D2" s="29"/>
      <c r="E2" s="29"/>
    </row>
    <row r="3" spans="2:5" x14ac:dyDescent="0.3">
      <c r="B3" s="25" t="s">
        <v>214</v>
      </c>
      <c r="C3" s="25" t="s">
        <v>220</v>
      </c>
      <c r="D3" s="25" t="s">
        <v>215</v>
      </c>
      <c r="E3" s="25" t="s">
        <v>216</v>
      </c>
    </row>
    <row r="4" spans="2:5" x14ac:dyDescent="0.3">
      <c r="B4" s="9" t="s">
        <v>274</v>
      </c>
      <c r="C4" s="9" t="s">
        <v>275</v>
      </c>
      <c r="D4" s="9">
        <v>35</v>
      </c>
      <c r="E4" s="9" t="s">
        <v>219</v>
      </c>
    </row>
    <row r="5" spans="2:5" x14ac:dyDescent="0.3">
      <c r="B5" s="9" t="s">
        <v>276</v>
      </c>
      <c r="C5" s="9" t="s">
        <v>277</v>
      </c>
      <c r="D5" s="9">
        <v>20</v>
      </c>
      <c r="E5" s="9" t="s">
        <v>219</v>
      </c>
    </row>
    <row r="8" spans="2:5" x14ac:dyDescent="0.3">
      <c r="B8" s="29" t="s">
        <v>279</v>
      </c>
      <c r="C8" s="29"/>
      <c r="D8" s="29"/>
      <c r="E8" s="29"/>
    </row>
    <row r="9" spans="2:5" x14ac:dyDescent="0.3">
      <c r="B9" s="25" t="s">
        <v>214</v>
      </c>
      <c r="C9" s="25" t="s">
        <v>220</v>
      </c>
      <c r="D9" s="25" t="s">
        <v>215</v>
      </c>
      <c r="E9" s="25" t="s">
        <v>216</v>
      </c>
    </row>
    <row r="10" spans="2:5" x14ac:dyDescent="0.3">
      <c r="B10" s="9" t="s">
        <v>274</v>
      </c>
      <c r="C10" s="9" t="s">
        <v>280</v>
      </c>
      <c r="D10" s="9">
        <v>35</v>
      </c>
      <c r="E10" s="9" t="s">
        <v>219</v>
      </c>
    </row>
    <row r="11" spans="2:5" x14ac:dyDescent="0.3">
      <c r="B11" s="9" t="s">
        <v>276</v>
      </c>
      <c r="C11" s="9" t="s">
        <v>281</v>
      </c>
      <c r="D11" s="9">
        <v>20</v>
      </c>
      <c r="E11" s="9" t="s">
        <v>219</v>
      </c>
    </row>
    <row r="13" spans="2:5" x14ac:dyDescent="0.3">
      <c r="B13" s="29" t="s">
        <v>291</v>
      </c>
      <c r="C13" s="29"/>
      <c r="D13" s="29"/>
      <c r="E13" s="29"/>
    </row>
    <row r="14" spans="2:5" x14ac:dyDescent="0.3">
      <c r="B14" s="26" t="s">
        <v>214</v>
      </c>
      <c r="C14" s="26" t="s">
        <v>220</v>
      </c>
      <c r="D14" s="26" t="s">
        <v>215</v>
      </c>
      <c r="E14" s="26" t="s">
        <v>216</v>
      </c>
    </row>
    <row r="15" spans="2:5" x14ac:dyDescent="0.3">
      <c r="B15" s="9" t="s">
        <v>292</v>
      </c>
      <c r="C15" s="9" t="s">
        <v>298</v>
      </c>
      <c r="D15" s="9">
        <v>300</v>
      </c>
      <c r="E15" s="9" t="s">
        <v>219</v>
      </c>
    </row>
    <row r="16" spans="2:5" x14ac:dyDescent="0.3">
      <c r="B16" s="9" t="s">
        <v>293</v>
      </c>
      <c r="C16" s="9" t="s">
        <v>304</v>
      </c>
      <c r="D16" s="9">
        <v>800</v>
      </c>
      <c r="E16" s="9" t="s">
        <v>219</v>
      </c>
    </row>
    <row r="17" spans="2:5" x14ac:dyDescent="0.3">
      <c r="B17" s="9" t="s">
        <v>294</v>
      </c>
      <c r="C17" s="9" t="s">
        <v>305</v>
      </c>
      <c r="D17" s="9">
        <v>100</v>
      </c>
      <c r="E17" s="9" t="s">
        <v>219</v>
      </c>
    </row>
    <row r="18" spans="2:5" x14ac:dyDescent="0.3">
      <c r="B18" s="9" t="s">
        <v>306</v>
      </c>
      <c r="C18" s="9" t="s">
        <v>307</v>
      </c>
      <c r="D18" s="9">
        <f>(('Dimensiones cuarto'!D2-(((Estantes!D6+'Ubicacion espacial'!D16)*(Estantes!D8-1))+Estantes!D6))/2)</f>
        <v>1200</v>
      </c>
      <c r="E18" s="9" t="s">
        <v>219</v>
      </c>
    </row>
  </sheetData>
  <mergeCells count="3">
    <mergeCell ref="B2:E2"/>
    <mergeCell ref="B8:E8"/>
    <mergeCell ref="B13:E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Dimensiones cuarto</vt:lpstr>
      <vt:lpstr>Calculos</vt:lpstr>
      <vt:lpstr>Evaporadoras</vt:lpstr>
      <vt:lpstr>Condensadoras</vt:lpstr>
      <vt:lpstr>Soportes</vt:lpstr>
      <vt:lpstr>Estantes</vt:lpstr>
      <vt:lpstr>Ubicacion espacial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Jorge Enrique Neira Angulo</cp:lastModifiedBy>
  <dcterms:created xsi:type="dcterms:W3CDTF">2015-03-23T23:44:38Z</dcterms:created>
  <dcterms:modified xsi:type="dcterms:W3CDTF">2015-12-01T15:40:05Z</dcterms:modified>
</cp:coreProperties>
</file>